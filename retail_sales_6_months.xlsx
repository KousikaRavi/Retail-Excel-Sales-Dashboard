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hidePivotFieldList="1" defaultThemeVersion="166925"/>
  <mc:AlternateContent xmlns:mc="http://schemas.openxmlformats.org/markup-compatibility/2006">
    <mc:Choice Requires="x15">
      <x15ac:absPath xmlns:x15ac="http://schemas.microsoft.com/office/spreadsheetml/2010/11/ac" url="https://d.docs.live.net/6d818a849dec3d1c/"/>
    </mc:Choice>
  </mc:AlternateContent>
  <xr:revisionPtr revIDLastSave="0" documentId="8_{53E46329-D5DA-4ED6-9A7D-69E16574DF9B}" xr6:coauthVersionLast="47" xr6:coauthVersionMax="47" xr10:uidLastSave="{00000000-0000-0000-0000-000000000000}"/>
  <bookViews>
    <workbookView xWindow="0" yWindow="740" windowWidth="29400" windowHeight="17180" firstSheet="2" activeTab="2" xr2:uid="{EEAD6327-5E01-4282-8624-C383E2152D15}"/>
  </bookViews>
  <sheets>
    <sheet name="raw_data" sheetId="1" r:id="rId1"/>
    <sheet name="KPI " sheetId="2" r:id="rId2"/>
    <sheet name="Dashboard" sheetId="3" r:id="rId3"/>
    <sheet name="Pivot" sheetId="5" r:id="rId4"/>
  </sheets>
  <definedNames>
    <definedName name="Slicer_Category">#N/A</definedName>
    <definedName name="Slicer_Months__Order_Date">#N/A</definedName>
    <definedName name="Slicer_Region">#N/A</definedName>
  </definedNames>
  <calcPr calcId="191028"/>
  <pivotCaches>
    <pivotCache cacheId="37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3" i="5"/>
  <c r="I4" i="5"/>
  <c r="I7" i="5"/>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Q3" i="1"/>
  <c r="L7" i="1"/>
  <c r="L2" i="1"/>
  <c r="L3" i="1"/>
  <c r="L4" i="1"/>
  <c r="L5" i="1"/>
  <c r="L6"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B7" i="2" l="1"/>
  <c r="B6" i="2"/>
  <c r="B3" i="2"/>
  <c r="B2" i="2"/>
  <c r="Q9" i="1"/>
  <c r="Q8" i="1"/>
  <c r="Q6" i="1"/>
  <c r="Q5" i="1"/>
  <c r="Q7" i="1"/>
  <c r="Q4" i="1"/>
  <c r="B4" i="2" l="1"/>
  <c r="B5" i="2" s="1"/>
</calcChain>
</file>

<file path=xl/sharedStrings.xml><?xml version="1.0" encoding="utf-8"?>
<sst xmlns="http://schemas.openxmlformats.org/spreadsheetml/2006/main" count="4287" uniqueCount="55">
  <si>
    <t>Order Date</t>
  </si>
  <si>
    <t>Month</t>
  </si>
  <si>
    <t>Year</t>
  </si>
  <si>
    <t>Product</t>
  </si>
  <si>
    <t>Category</t>
  </si>
  <si>
    <t>Region</t>
  </si>
  <si>
    <t>Salesperson</t>
  </si>
  <si>
    <t>Units Sold</t>
  </si>
  <si>
    <t>Revenue</t>
  </si>
  <si>
    <t>Cost</t>
  </si>
  <si>
    <t>Data Status</t>
  </si>
  <si>
    <t>Duplicate Status</t>
  </si>
  <si>
    <t>Profit</t>
  </si>
  <si>
    <t>Transaction Type</t>
  </si>
  <si>
    <t>Headphones</t>
  </si>
  <si>
    <t>Electronics</t>
  </si>
  <si>
    <t>East</t>
  </si>
  <si>
    <t>Meena</t>
  </si>
  <si>
    <t>Metric</t>
  </si>
  <si>
    <t>Value</t>
  </si>
  <si>
    <t>Laptop</t>
  </si>
  <si>
    <t>South</t>
  </si>
  <si>
    <t xml:space="preserve">Total </t>
  </si>
  <si>
    <t>Monitor</t>
  </si>
  <si>
    <t>North</t>
  </si>
  <si>
    <t>Duplicate</t>
  </si>
  <si>
    <t>Karthik</t>
  </si>
  <si>
    <t xml:space="preserve">Flag </t>
  </si>
  <si>
    <t>Remove</t>
  </si>
  <si>
    <t>Mobile</t>
  </si>
  <si>
    <t>Unique</t>
  </si>
  <si>
    <t>Chair</t>
  </si>
  <si>
    <t>Furniture</t>
  </si>
  <si>
    <t>Priya</t>
  </si>
  <si>
    <t>Sale</t>
  </si>
  <si>
    <t>Table</t>
  </si>
  <si>
    <t>West</t>
  </si>
  <si>
    <t>Arjun</t>
  </si>
  <si>
    <t>Return</t>
  </si>
  <si>
    <t>Ravi</t>
  </si>
  <si>
    <t>Printer</t>
  </si>
  <si>
    <t>Sneha</t>
  </si>
  <si>
    <t>Metrics</t>
  </si>
  <si>
    <t>Total Revenue</t>
  </si>
  <si>
    <t>Total Cost</t>
  </si>
  <si>
    <t>Total Profit</t>
  </si>
  <si>
    <t>Profit Margin</t>
  </si>
  <si>
    <t>Total Units Sold</t>
  </si>
  <si>
    <t>Return Rate</t>
  </si>
  <si>
    <t>Valid</t>
  </si>
  <si>
    <t>Sum of Revenue</t>
  </si>
  <si>
    <t>Sum of Cost</t>
  </si>
  <si>
    <t>Sum of Units Sold</t>
  </si>
  <si>
    <t>Sum of Profit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</si>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</sst>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49]\ * #,##0.00_ ;_ [$₹-449]\ * \-#,##0.00_ ;_ [$₹-449]\ * &quot;-&quot;??_ ;_ @_ "/>
    <numFmt numFmtId="165" formatCode="_ [$₹-4009]\ * #,##0.00_ ;_ [$₹-4009]\ * \-#,##0.00_ ;_ [$₹-4009]\ * &quot;-&quot;??_ ;_ @_ "/>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10" fontId="0" fillId="0" borderId="0" xfId="0" applyNumberFormat="1"/>
    <xf numFmtId="0" fontId="0" fillId="0" borderId="0" xfId="0" applyAlignment="1">
      <alignment vertical="center"/>
    </xf>
    <xf numFmtId="164" fontId="0" fillId="0" borderId="0" xfId="0" applyNumberFormat="1" applyAlignment="1">
      <alignment vertical="center"/>
    </xf>
    <xf numFmtId="0" fontId="0" fillId="0" borderId="0" xfId="0" pivotButton="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s>
  <tableStyles count="0" defaultTableStyle="TableStyleMedium2" defaultPivotStyle="PivotStyleLight16"/>
  <colors>
    <mruColors>
      <color rgb="FF1638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[retail_sales_6_months.xlsx]Pivot!Month 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Pivot!$B$16</c:f>
              <c:strCache>
                <c:ptCount val="1"/>
                <c:pt idx="0">
                  <c:v>Sum of Revenue</c:v>
                </c:pt>
              </c:strCache>
            </c:strRef>
          </c:tx>
          <c:spPr>
            <a:ln w="28575" cap="rnd">
              <a:solidFill>
                <a:schemeClr val="accent1"/>
              </a:solidFill>
              <a:round/>
            </a:ln>
            <a:effectLst/>
          </c:spPr>
          <c:marker>
            <c:symbol val="none"/>
          </c:marker>
          <c:cat>
            <c:strRef>
              <c:f>Pivot!$A$17:$A$28</c:f>
              <c:strCache>
                <c:ptCount val="11"/>
                <c:pt idx="0">
                  <c:v>1</c:v>
                </c:pt>
                <c:pt idx="1">
                  <c:v>2</c:v>
                </c:pt>
                <c:pt idx="2">
                  <c:v>3</c:v>
                </c:pt>
                <c:pt idx="3">
                  <c:v>4</c:v>
                </c:pt>
                <c:pt idx="4">
                  <c:v>5</c:v>
                </c:pt>
                <c:pt idx="5">
                  <c:v>6</c:v>
                </c:pt>
                <c:pt idx="6">
                  <c:v>7</c:v>
                </c:pt>
                <c:pt idx="7">
                  <c:v>8</c:v>
                </c:pt>
                <c:pt idx="8">
                  <c:v>9</c:v>
                </c:pt>
                <c:pt idx="9">
                  <c:v>10</c:v>
                </c:pt>
                <c:pt idx="10">
                  <c:v>12</c:v>
                </c:pt>
              </c:strCache>
            </c:strRef>
          </c:cat>
          <c:val>
            <c:numRef>
              <c:f>Pivot!$B$17:$B$28</c:f>
              <c:numCache>
                <c:formatCode>General</c:formatCode>
                <c:ptCount val="11"/>
                <c:pt idx="0">
                  <c:v>7604438</c:v>
                </c:pt>
                <c:pt idx="1">
                  <c:v>4829779</c:v>
                </c:pt>
                <c:pt idx="2">
                  <c:v>3411426</c:v>
                </c:pt>
                <c:pt idx="3">
                  <c:v>6460999</c:v>
                </c:pt>
                <c:pt idx="4">
                  <c:v>6779924</c:v>
                </c:pt>
                <c:pt idx="5">
                  <c:v>4206845</c:v>
                </c:pt>
                <c:pt idx="6">
                  <c:v>341460</c:v>
                </c:pt>
                <c:pt idx="7">
                  <c:v>74509</c:v>
                </c:pt>
                <c:pt idx="8">
                  <c:v>198282</c:v>
                </c:pt>
                <c:pt idx="9">
                  <c:v>81342</c:v>
                </c:pt>
                <c:pt idx="10">
                  <c:v>240891</c:v>
                </c:pt>
              </c:numCache>
            </c:numRef>
          </c:val>
          <c:smooth val="0"/>
          <c:extLst>
            <c:ext xmlns:c16="http://schemas.microsoft.com/office/drawing/2014/chart" uri="{C3380CC4-5D6E-409C-BE32-E72D297353CC}">
              <c16:uniqueId val="{00000000-1ED6-A643-82A9-D97E98528511}"/>
            </c:ext>
          </c:extLst>
        </c:ser>
        <c:ser>
          <c:idx val="1"/>
          <c:order val="1"/>
          <c:tx>
            <c:strRef>
              <c:f>Pivot!$C$16</c:f>
              <c:strCache>
                <c:ptCount val="1"/>
                <c:pt idx="0">
                  <c:v>Sum of Cost</c:v>
                </c:pt>
              </c:strCache>
            </c:strRef>
          </c:tx>
          <c:spPr>
            <a:ln w="28575" cap="rnd">
              <a:solidFill>
                <a:schemeClr val="accent2"/>
              </a:solidFill>
              <a:round/>
            </a:ln>
            <a:effectLst/>
          </c:spPr>
          <c:marker>
            <c:symbol val="none"/>
          </c:marker>
          <c:cat>
            <c:strRef>
              <c:f>Pivot!$A$17:$A$28</c:f>
              <c:strCache>
                <c:ptCount val="11"/>
                <c:pt idx="0">
                  <c:v>1</c:v>
                </c:pt>
                <c:pt idx="1">
                  <c:v>2</c:v>
                </c:pt>
                <c:pt idx="2">
                  <c:v>3</c:v>
                </c:pt>
                <c:pt idx="3">
                  <c:v>4</c:v>
                </c:pt>
                <c:pt idx="4">
                  <c:v>5</c:v>
                </c:pt>
                <c:pt idx="5">
                  <c:v>6</c:v>
                </c:pt>
                <c:pt idx="6">
                  <c:v>7</c:v>
                </c:pt>
                <c:pt idx="7">
                  <c:v>8</c:v>
                </c:pt>
                <c:pt idx="8">
                  <c:v>9</c:v>
                </c:pt>
                <c:pt idx="9">
                  <c:v>10</c:v>
                </c:pt>
                <c:pt idx="10">
                  <c:v>12</c:v>
                </c:pt>
              </c:strCache>
            </c:strRef>
          </c:cat>
          <c:val>
            <c:numRef>
              <c:f>Pivot!$C$17:$C$28</c:f>
              <c:numCache>
                <c:formatCode>General</c:formatCode>
                <c:ptCount val="11"/>
                <c:pt idx="0">
                  <c:v>5384775.8090315359</c:v>
                </c:pt>
                <c:pt idx="1">
                  <c:v>3336696.8859703117</c:v>
                </c:pt>
                <c:pt idx="2">
                  <c:v>2351677.7538761422</c:v>
                </c:pt>
                <c:pt idx="3">
                  <c:v>4893805.8396703778</c:v>
                </c:pt>
                <c:pt idx="4">
                  <c:v>4919257.0051215626</c:v>
                </c:pt>
                <c:pt idx="5">
                  <c:v>3177135.9233890246</c:v>
                </c:pt>
                <c:pt idx="6">
                  <c:v>299577.20739188202</c:v>
                </c:pt>
                <c:pt idx="7">
                  <c:v>58720.5850308515</c:v>
                </c:pt>
                <c:pt idx="8">
                  <c:v>140330.73138810499</c:v>
                </c:pt>
                <c:pt idx="9">
                  <c:v>44765.0228245619</c:v>
                </c:pt>
                <c:pt idx="10">
                  <c:v>211733.14648725733</c:v>
                </c:pt>
              </c:numCache>
            </c:numRef>
          </c:val>
          <c:smooth val="0"/>
          <c:extLst>
            <c:ext xmlns:c16="http://schemas.microsoft.com/office/drawing/2014/chart" uri="{C3380CC4-5D6E-409C-BE32-E72D297353CC}">
              <c16:uniqueId val="{00000001-1ED6-A643-82A9-D97E98528511}"/>
            </c:ext>
          </c:extLst>
        </c:ser>
        <c:ser>
          <c:idx val="2"/>
          <c:order val="2"/>
          <c:tx>
            <c:strRef>
              <c:f>Pivot!$D$16</c:f>
              <c:strCache>
                <c:ptCount val="1"/>
                <c:pt idx="0">
                  <c:v>Sum of Profit</c:v>
                </c:pt>
              </c:strCache>
            </c:strRef>
          </c:tx>
          <c:spPr>
            <a:ln w="28575" cap="rnd">
              <a:solidFill>
                <a:schemeClr val="accent3"/>
              </a:solidFill>
              <a:round/>
            </a:ln>
            <a:effectLst/>
          </c:spPr>
          <c:marker>
            <c:symbol val="none"/>
          </c:marker>
          <c:cat>
            <c:strRef>
              <c:f>Pivot!$A$17:$A$28</c:f>
              <c:strCache>
                <c:ptCount val="11"/>
                <c:pt idx="0">
                  <c:v>1</c:v>
                </c:pt>
                <c:pt idx="1">
                  <c:v>2</c:v>
                </c:pt>
                <c:pt idx="2">
                  <c:v>3</c:v>
                </c:pt>
                <c:pt idx="3">
                  <c:v>4</c:v>
                </c:pt>
                <c:pt idx="4">
                  <c:v>5</c:v>
                </c:pt>
                <c:pt idx="5">
                  <c:v>6</c:v>
                </c:pt>
                <c:pt idx="6">
                  <c:v>7</c:v>
                </c:pt>
                <c:pt idx="7">
                  <c:v>8</c:v>
                </c:pt>
                <c:pt idx="8">
                  <c:v>9</c:v>
                </c:pt>
                <c:pt idx="9">
                  <c:v>10</c:v>
                </c:pt>
                <c:pt idx="10">
                  <c:v>12</c:v>
                </c:pt>
              </c:strCache>
            </c:strRef>
          </c:cat>
          <c:val>
            <c:numRef>
              <c:f>Pivot!$D$17:$D$28</c:f>
              <c:numCache>
                <c:formatCode>General</c:formatCode>
                <c:ptCount val="11"/>
                <c:pt idx="0">
                  <c:v>2219662.1909684641</c:v>
                </c:pt>
                <c:pt idx="1">
                  <c:v>1493082.1140296885</c:v>
                </c:pt>
                <c:pt idx="2">
                  <c:v>1059748.2461238576</c:v>
                </c:pt>
                <c:pt idx="3">
                  <c:v>1567193.160329622</c:v>
                </c:pt>
                <c:pt idx="4">
                  <c:v>1860666.9948784371</c:v>
                </c:pt>
                <c:pt idx="5">
                  <c:v>1029709.0766109754</c:v>
                </c:pt>
                <c:pt idx="6">
                  <c:v>41882.792608117976</c:v>
                </c:pt>
                <c:pt idx="7">
                  <c:v>15788.4149691485</c:v>
                </c:pt>
                <c:pt idx="8">
                  <c:v>57951.268611895008</c:v>
                </c:pt>
                <c:pt idx="9">
                  <c:v>36576.9771754381</c:v>
                </c:pt>
                <c:pt idx="10">
                  <c:v>29157.853512742688</c:v>
                </c:pt>
              </c:numCache>
            </c:numRef>
          </c:val>
          <c:smooth val="0"/>
          <c:extLst>
            <c:ext xmlns:c16="http://schemas.microsoft.com/office/drawing/2014/chart" uri="{C3380CC4-5D6E-409C-BE32-E72D297353CC}">
              <c16:uniqueId val="{00000002-1ED6-A643-82A9-D97E98528511}"/>
            </c:ext>
          </c:extLst>
        </c:ser>
        <c:dLbls>
          <c:showLegendKey val="0"/>
          <c:showVal val="0"/>
          <c:showCatName val="0"/>
          <c:showSerName val="0"/>
          <c:showPercent val="0"/>
          <c:showBubbleSize val="0"/>
        </c:dLbls>
        <c:smooth val="0"/>
        <c:axId val="533939824"/>
        <c:axId val="533941536"/>
      </c:lineChart>
      <c:catAx>
        <c:axId val="5339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41536"/>
        <c:crosses val="autoZero"/>
        <c:auto val="1"/>
        <c:lblAlgn val="ctr"/>
        <c:lblOffset val="100"/>
        <c:noMultiLvlLbl val="0"/>
      </c:catAx>
      <c:valAx>
        <c:axId val="5339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[retail_sales_6_months.xlsx]Pivot!Sales Person Pivot</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Salesperson Performance</a:t>
            </a:r>
          </a:p>
        </c:rich>
      </c:tx>
      <c:layout>
        <c:manualLayout>
          <c:xMode val="edge"/>
          <c:yMode val="edge"/>
          <c:x val="0.5131666666666666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Pivot!$A$34:$A$40</c:f>
              <c:strCache>
                <c:ptCount val="6"/>
                <c:pt idx="0">
                  <c:v>Priya</c:v>
                </c:pt>
                <c:pt idx="1">
                  <c:v>Ravi</c:v>
                </c:pt>
                <c:pt idx="2">
                  <c:v>Karthik</c:v>
                </c:pt>
                <c:pt idx="3">
                  <c:v>Meena</c:v>
                </c:pt>
                <c:pt idx="4">
                  <c:v>Arjun</c:v>
                </c:pt>
                <c:pt idx="5">
                  <c:v>Sneha</c:v>
                </c:pt>
              </c:strCache>
            </c:strRef>
          </c:cat>
          <c:val>
            <c:numRef>
              <c:f>Pivot!$B$34:$B$40</c:f>
              <c:numCache>
                <c:formatCode>General</c:formatCode>
                <c:ptCount val="6"/>
                <c:pt idx="0">
                  <c:v>7295587</c:v>
                </c:pt>
                <c:pt idx="1">
                  <c:v>6132179</c:v>
                </c:pt>
                <c:pt idx="2">
                  <c:v>5832579</c:v>
                </c:pt>
                <c:pt idx="3">
                  <c:v>5231249</c:v>
                </c:pt>
                <c:pt idx="4">
                  <c:v>5095781</c:v>
                </c:pt>
                <c:pt idx="5">
                  <c:v>4642520</c:v>
                </c:pt>
              </c:numCache>
            </c:numRef>
          </c:val>
          <c:extLst>
            <c:ext xmlns:c16="http://schemas.microsoft.com/office/drawing/2014/chart" uri="{C3380CC4-5D6E-409C-BE32-E72D297353CC}">
              <c16:uniqueId val="{00000000-9697-7143-8137-1E0C34D118F1}"/>
            </c:ext>
          </c:extLst>
        </c:ser>
        <c:dLbls>
          <c:showLegendKey val="0"/>
          <c:showVal val="0"/>
          <c:showCatName val="0"/>
          <c:showSerName val="0"/>
          <c:showPercent val="0"/>
          <c:showBubbleSize val="0"/>
        </c:dLbls>
        <c:gapWidth val="353"/>
        <c:axId val="523273760"/>
        <c:axId val="523276448"/>
      </c:barChart>
      <c:lineChart>
        <c:grouping val="standard"/>
        <c:varyColors val="0"/>
        <c:ser>
          <c:idx val="1"/>
          <c:order val="1"/>
          <c:tx>
            <c:strRef>
              <c:f>Pivot!$C$33</c:f>
              <c:strCache>
                <c:ptCount val="1"/>
                <c:pt idx="0">
                  <c:v>Sum of Units 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Pivot!$A$34:$A$40</c:f>
              <c:strCache>
                <c:ptCount val="6"/>
                <c:pt idx="0">
                  <c:v>Priya</c:v>
                </c:pt>
                <c:pt idx="1">
                  <c:v>Ravi</c:v>
                </c:pt>
                <c:pt idx="2">
                  <c:v>Karthik</c:v>
                </c:pt>
                <c:pt idx="3">
                  <c:v>Meena</c:v>
                </c:pt>
                <c:pt idx="4">
                  <c:v>Arjun</c:v>
                </c:pt>
                <c:pt idx="5">
                  <c:v>Sneha</c:v>
                </c:pt>
              </c:strCache>
            </c:strRef>
          </c:cat>
          <c:val>
            <c:numRef>
              <c:f>Pivot!$C$34:$C$40</c:f>
              <c:numCache>
                <c:formatCode>General</c:formatCode>
                <c:ptCount val="6"/>
                <c:pt idx="0">
                  <c:v>321</c:v>
                </c:pt>
                <c:pt idx="1">
                  <c:v>251</c:v>
                </c:pt>
                <c:pt idx="2">
                  <c:v>235</c:v>
                </c:pt>
                <c:pt idx="3">
                  <c:v>201</c:v>
                </c:pt>
                <c:pt idx="4">
                  <c:v>182</c:v>
                </c:pt>
                <c:pt idx="5">
                  <c:v>214</c:v>
                </c:pt>
              </c:numCache>
            </c:numRef>
          </c:val>
          <c:smooth val="0"/>
          <c:extLst>
            <c:ext xmlns:c16="http://schemas.microsoft.com/office/drawing/2014/chart" uri="{C3380CC4-5D6E-409C-BE32-E72D297353CC}">
              <c16:uniqueId val="{00000001-9697-7143-8137-1E0C34D118F1}"/>
            </c:ext>
          </c:extLst>
        </c:ser>
        <c:dLbls>
          <c:showLegendKey val="0"/>
          <c:showVal val="0"/>
          <c:showCatName val="0"/>
          <c:showSerName val="0"/>
          <c:showPercent val="0"/>
          <c:showBubbleSize val="0"/>
        </c:dLbls>
        <c:marker val="1"/>
        <c:smooth val="0"/>
        <c:axId val="845252768"/>
        <c:axId val="1738758959"/>
      </c:lineChart>
      <c:catAx>
        <c:axId val="523273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6448"/>
        <c:crosses val="autoZero"/>
        <c:auto val="1"/>
        <c:lblAlgn val="ctr"/>
        <c:lblOffset val="100"/>
        <c:noMultiLvlLbl val="0"/>
      </c:catAx>
      <c:valAx>
        <c:axId val="52327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3760"/>
        <c:crosses val="autoZero"/>
        <c:crossBetween val="between"/>
      </c:valAx>
      <c:valAx>
        <c:axId val="17387589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252768"/>
        <c:crosses val="max"/>
        <c:crossBetween val="between"/>
      </c:valAx>
      <c:catAx>
        <c:axId val="845252768"/>
        <c:scaling>
          <c:orientation val="minMax"/>
        </c:scaling>
        <c:delete val="1"/>
        <c:axPos val="b"/>
        <c:numFmt formatCode="General" sourceLinked="1"/>
        <c:majorTickMark val="out"/>
        <c:minorTickMark val="none"/>
        <c:tickLblPos val="nextTo"/>
        <c:crossAx val="17387589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[retail_sales_6_months.xlsx]Pivot!Region Pivot</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a:t>Region Wise Analysis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solidFill>
              <a:schemeClr val="accent1">
                <a:shade val="15000"/>
              </a:schemeClr>
            </a:solidFill>
            <a:miter lim="800000"/>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gradFill>
              <a:gsLst>
                <a:gs pos="0">
                  <a:schemeClr val="accent1"/>
                </a:gs>
                <a:gs pos="100000">
                  <a:schemeClr val="accent1">
                    <a:lumMod val="84000"/>
                  </a:schemeClr>
                </a:gs>
              </a:gsLst>
              <a:lin ang="5400000" scaled="1"/>
            </a:gradFill>
            <a:ln>
              <a:solidFill>
                <a:schemeClr val="accent1">
                  <a:shade val="15000"/>
                </a:schemeClr>
              </a:solidFill>
              <a:miter lim="800000"/>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Pivot!$A$52:$A$56</c:f>
              <c:strCache>
                <c:ptCount val="4"/>
                <c:pt idx="0">
                  <c:v>East</c:v>
                </c:pt>
                <c:pt idx="1">
                  <c:v>North</c:v>
                </c:pt>
                <c:pt idx="2">
                  <c:v>South</c:v>
                </c:pt>
                <c:pt idx="3">
                  <c:v>West</c:v>
                </c:pt>
              </c:strCache>
            </c:strRef>
          </c:cat>
          <c:val>
            <c:numRef>
              <c:f>Pivot!$B$52:$B$56</c:f>
              <c:numCache>
                <c:formatCode>General</c:formatCode>
                <c:ptCount val="4"/>
                <c:pt idx="0">
                  <c:v>30806505</c:v>
                </c:pt>
                <c:pt idx="1">
                  <c:v>33123679</c:v>
                </c:pt>
                <c:pt idx="2">
                  <c:v>34229895</c:v>
                </c:pt>
                <c:pt idx="3">
                  <c:v>30728959</c:v>
                </c:pt>
              </c:numCache>
            </c:numRef>
          </c:val>
          <c:extLst>
            <c:ext xmlns:c16="http://schemas.microsoft.com/office/drawing/2014/chart" uri="{C3380CC4-5D6E-409C-BE32-E72D297353CC}">
              <c16:uniqueId val="{00000000-6AD5-5148-9570-F4BA221920E6}"/>
            </c:ext>
          </c:extLst>
        </c:ser>
        <c:dLbls>
          <c:dLblPos val="inEnd"/>
          <c:showLegendKey val="0"/>
          <c:showVal val="1"/>
          <c:showCatName val="0"/>
          <c:showSerName val="0"/>
          <c:showPercent val="0"/>
          <c:showBubbleSize val="0"/>
        </c:dLbls>
        <c:gapWidth val="45"/>
        <c:overlap val="-19"/>
        <c:axId val="1757793439"/>
        <c:axId val="1465942911"/>
      </c:barChart>
      <c:catAx>
        <c:axId val="1757793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65942911"/>
        <c:crosses val="autoZero"/>
        <c:auto val="1"/>
        <c:lblAlgn val="ctr"/>
        <c:lblOffset val="100"/>
        <c:noMultiLvlLbl val="0"/>
      </c:catAx>
      <c:valAx>
        <c:axId val="1465942911"/>
        <c:scaling>
          <c:orientation val="minMax"/>
        </c:scaling>
        <c:delete val="1"/>
        <c:axPos val="l"/>
        <c:numFmt formatCode="General" sourceLinked="1"/>
        <c:majorTickMark val="none"/>
        <c:minorTickMark val="none"/>
        <c:tickLblPos val="nextTo"/>
        <c:crossAx val="175779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[retail_sales_6_months.xlsx]Pivot!Category Pivot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Category</a:t>
            </a:r>
            <a:r>
              <a:rPr lang="en-GB" baseline="0"/>
              <a:t> Wise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Pivot!$B$71</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78-354E-ACCA-6D48D842F3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78-354E-ACCA-6D48D842F3E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Pivot!$A$72:$A$74</c:f>
              <c:strCache>
                <c:ptCount val="2"/>
                <c:pt idx="0">
                  <c:v>Electronics</c:v>
                </c:pt>
                <c:pt idx="1">
                  <c:v>Furniture</c:v>
                </c:pt>
              </c:strCache>
            </c:strRef>
          </c:cat>
          <c:val>
            <c:numRef>
              <c:f>Pivot!$B$72:$B$74</c:f>
              <c:numCache>
                <c:formatCode>0.00%</c:formatCode>
                <c:ptCount val="2"/>
                <c:pt idx="0">
                  <c:v>0.70029487382301348</c:v>
                </c:pt>
                <c:pt idx="1">
                  <c:v>0.29970512617698652</c:v>
                </c:pt>
              </c:numCache>
            </c:numRef>
          </c:val>
          <c:extLst>
            <c:ext xmlns:c16="http://schemas.microsoft.com/office/drawing/2014/chart" uri="{C3380CC4-5D6E-409C-BE32-E72D297353CC}">
              <c16:uniqueId val="{00000004-4178-354E-ACCA-6D48D842F3E7}"/>
            </c:ext>
          </c:extLst>
        </c:ser>
        <c:dLbls>
          <c:dLblPos val="inEnd"/>
          <c:showLegendKey val="0"/>
          <c:showVal val="0"/>
          <c:showCatName val="0"/>
          <c:showSerName val="0"/>
          <c:showPercent val="0"/>
          <c:showBubbleSize val="0"/>
          <c:showLeaderLines val="0"/>
        </c:dLbls>
        <c:firstSliceAng val="7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[retail_sales_6_months.xlsx]Pivot!PivotTable2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Rank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Pivot!$A$86:$A$93</c:f>
              <c:strCache>
                <c:ptCount val="7"/>
                <c:pt idx="0">
                  <c:v>Headphones</c:v>
                </c:pt>
                <c:pt idx="1">
                  <c:v>Chair</c:v>
                </c:pt>
                <c:pt idx="2">
                  <c:v>Laptop</c:v>
                </c:pt>
                <c:pt idx="3">
                  <c:v>Mobile</c:v>
                </c:pt>
                <c:pt idx="4">
                  <c:v>Printer</c:v>
                </c:pt>
                <c:pt idx="5">
                  <c:v>Table</c:v>
                </c:pt>
                <c:pt idx="6">
                  <c:v>Monitor</c:v>
                </c:pt>
              </c:strCache>
            </c:strRef>
          </c:cat>
          <c:val>
            <c:numRef>
              <c:f>Pivot!$B$86:$B$93</c:f>
              <c:numCache>
                <c:formatCode>General</c:formatCode>
                <c:ptCount val="7"/>
                <c:pt idx="0">
                  <c:v>7314367</c:v>
                </c:pt>
                <c:pt idx="1">
                  <c:v>6456993</c:v>
                </c:pt>
                <c:pt idx="2">
                  <c:v>5254999</c:v>
                </c:pt>
                <c:pt idx="3">
                  <c:v>4561640</c:v>
                </c:pt>
                <c:pt idx="4">
                  <c:v>3891939</c:v>
                </c:pt>
                <c:pt idx="5">
                  <c:v>3801882</c:v>
                </c:pt>
                <c:pt idx="6">
                  <c:v>2948075</c:v>
                </c:pt>
              </c:numCache>
            </c:numRef>
          </c:val>
          <c:extLst>
            <c:ext xmlns:c16="http://schemas.microsoft.com/office/drawing/2014/chart" uri="{C3380CC4-5D6E-409C-BE32-E72D297353CC}">
              <c16:uniqueId val="{00000000-2E1F-C14B-A9CE-8F724DB517B1}"/>
            </c:ext>
          </c:extLst>
        </c:ser>
        <c:dLbls>
          <c:dLblPos val="ctr"/>
          <c:showLegendKey val="0"/>
          <c:showVal val="1"/>
          <c:showCatName val="0"/>
          <c:showSerName val="0"/>
          <c:showPercent val="0"/>
          <c:showBubbleSize val="0"/>
        </c:dLbls>
        <c:gapWidth val="18"/>
        <c:overlap val="100"/>
        <c:axId val="1146136528"/>
        <c:axId val="1146218272"/>
      </c:barChart>
      <c:catAx>
        <c:axId val="1146136528"/>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18272"/>
        <c:crosses val="autoZero"/>
        <c:auto val="1"/>
        <c:lblAlgn val="ctr"/>
        <c:lblOffset val="100"/>
        <c:noMultiLvlLbl val="0"/>
      </c:catAx>
      <c:valAx>
        <c:axId val="114621827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13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[retail_sales_6_months.xlsx]Pivot!Month Trend</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c:f>
              <c:strCache>
                <c:ptCount val="1"/>
                <c:pt idx="0">
                  <c:v>Sum of Revenue</c:v>
                </c:pt>
              </c:strCache>
            </c:strRef>
          </c:tx>
          <c:spPr>
            <a:ln w="28575" cap="rnd">
              <a:solidFill>
                <a:schemeClr val="accent1"/>
              </a:solidFill>
              <a:round/>
            </a:ln>
            <a:effectLst/>
          </c:spPr>
          <c:marker>
            <c:symbol val="none"/>
          </c:marker>
          <c:cat>
            <c:strRef>
              <c:f>Pivot!$A$17:$A$28</c:f>
              <c:strCache>
                <c:ptCount val="11"/>
                <c:pt idx="0">
                  <c:v>1</c:v>
                </c:pt>
                <c:pt idx="1">
                  <c:v>2</c:v>
                </c:pt>
                <c:pt idx="2">
                  <c:v>3</c:v>
                </c:pt>
                <c:pt idx="3">
                  <c:v>4</c:v>
                </c:pt>
                <c:pt idx="4">
                  <c:v>5</c:v>
                </c:pt>
                <c:pt idx="5">
                  <c:v>6</c:v>
                </c:pt>
                <c:pt idx="6">
                  <c:v>7</c:v>
                </c:pt>
                <c:pt idx="7">
                  <c:v>8</c:v>
                </c:pt>
                <c:pt idx="8">
                  <c:v>9</c:v>
                </c:pt>
                <c:pt idx="9">
                  <c:v>10</c:v>
                </c:pt>
                <c:pt idx="10">
                  <c:v>12</c:v>
                </c:pt>
              </c:strCache>
            </c:strRef>
          </c:cat>
          <c:val>
            <c:numRef>
              <c:f>Pivot!$B$17:$B$28</c:f>
              <c:numCache>
                <c:formatCode>General</c:formatCode>
                <c:ptCount val="11"/>
                <c:pt idx="0">
                  <c:v>7604438</c:v>
                </c:pt>
                <c:pt idx="1">
                  <c:v>4829779</c:v>
                </c:pt>
                <c:pt idx="2">
                  <c:v>3411426</c:v>
                </c:pt>
                <c:pt idx="3">
                  <c:v>6460999</c:v>
                </c:pt>
                <c:pt idx="4">
                  <c:v>6779924</c:v>
                </c:pt>
                <c:pt idx="5">
                  <c:v>4206845</c:v>
                </c:pt>
                <c:pt idx="6">
                  <c:v>341460</c:v>
                </c:pt>
                <c:pt idx="7">
                  <c:v>74509</c:v>
                </c:pt>
                <c:pt idx="8">
                  <c:v>198282</c:v>
                </c:pt>
                <c:pt idx="9">
                  <c:v>81342</c:v>
                </c:pt>
                <c:pt idx="10">
                  <c:v>240891</c:v>
                </c:pt>
              </c:numCache>
            </c:numRef>
          </c:val>
          <c:smooth val="0"/>
          <c:extLst>
            <c:ext xmlns:c16="http://schemas.microsoft.com/office/drawing/2014/chart" uri="{C3380CC4-5D6E-409C-BE32-E72D297353CC}">
              <c16:uniqueId val="{00000000-16A8-4841-8077-69B61CDEFDDB}"/>
            </c:ext>
          </c:extLst>
        </c:ser>
        <c:ser>
          <c:idx val="1"/>
          <c:order val="1"/>
          <c:tx>
            <c:strRef>
              <c:f>Pivot!$C$16</c:f>
              <c:strCache>
                <c:ptCount val="1"/>
                <c:pt idx="0">
                  <c:v>Sum of Cost</c:v>
                </c:pt>
              </c:strCache>
            </c:strRef>
          </c:tx>
          <c:spPr>
            <a:ln w="28575" cap="rnd">
              <a:solidFill>
                <a:schemeClr val="accent2"/>
              </a:solidFill>
              <a:round/>
            </a:ln>
            <a:effectLst/>
          </c:spPr>
          <c:marker>
            <c:symbol val="none"/>
          </c:marker>
          <c:cat>
            <c:strRef>
              <c:f>Pivot!$A$17:$A$28</c:f>
              <c:strCache>
                <c:ptCount val="11"/>
                <c:pt idx="0">
                  <c:v>1</c:v>
                </c:pt>
                <c:pt idx="1">
                  <c:v>2</c:v>
                </c:pt>
                <c:pt idx="2">
                  <c:v>3</c:v>
                </c:pt>
                <c:pt idx="3">
                  <c:v>4</c:v>
                </c:pt>
                <c:pt idx="4">
                  <c:v>5</c:v>
                </c:pt>
                <c:pt idx="5">
                  <c:v>6</c:v>
                </c:pt>
                <c:pt idx="6">
                  <c:v>7</c:v>
                </c:pt>
                <c:pt idx="7">
                  <c:v>8</c:v>
                </c:pt>
                <c:pt idx="8">
                  <c:v>9</c:v>
                </c:pt>
                <c:pt idx="9">
                  <c:v>10</c:v>
                </c:pt>
                <c:pt idx="10">
                  <c:v>12</c:v>
                </c:pt>
              </c:strCache>
            </c:strRef>
          </c:cat>
          <c:val>
            <c:numRef>
              <c:f>Pivot!$C$17:$C$28</c:f>
              <c:numCache>
                <c:formatCode>General</c:formatCode>
                <c:ptCount val="11"/>
                <c:pt idx="0">
                  <c:v>5384775.8090315359</c:v>
                </c:pt>
                <c:pt idx="1">
                  <c:v>3336696.8859703117</c:v>
                </c:pt>
                <c:pt idx="2">
                  <c:v>2351677.7538761422</c:v>
                </c:pt>
                <c:pt idx="3">
                  <c:v>4893805.8396703778</c:v>
                </c:pt>
                <c:pt idx="4">
                  <c:v>4919257.0051215626</c:v>
                </c:pt>
                <c:pt idx="5">
                  <c:v>3177135.9233890246</c:v>
                </c:pt>
                <c:pt idx="6">
                  <c:v>299577.20739188202</c:v>
                </c:pt>
                <c:pt idx="7">
                  <c:v>58720.5850308515</c:v>
                </c:pt>
                <c:pt idx="8">
                  <c:v>140330.73138810499</c:v>
                </c:pt>
                <c:pt idx="9">
                  <c:v>44765.0228245619</c:v>
                </c:pt>
                <c:pt idx="10">
                  <c:v>211733.14648725733</c:v>
                </c:pt>
              </c:numCache>
            </c:numRef>
          </c:val>
          <c:smooth val="0"/>
          <c:extLst>
            <c:ext xmlns:c16="http://schemas.microsoft.com/office/drawing/2014/chart" uri="{C3380CC4-5D6E-409C-BE32-E72D297353CC}">
              <c16:uniqueId val="{00000001-16A8-4841-8077-69B61CDEFDDB}"/>
            </c:ext>
          </c:extLst>
        </c:ser>
        <c:ser>
          <c:idx val="2"/>
          <c:order val="2"/>
          <c:tx>
            <c:strRef>
              <c:f>Pivot!$D$16</c:f>
              <c:strCache>
                <c:ptCount val="1"/>
                <c:pt idx="0">
                  <c:v>Sum of Profit</c:v>
                </c:pt>
              </c:strCache>
            </c:strRef>
          </c:tx>
          <c:spPr>
            <a:ln w="28575" cap="rnd">
              <a:solidFill>
                <a:schemeClr val="accent3"/>
              </a:solidFill>
              <a:round/>
            </a:ln>
            <a:effectLst/>
          </c:spPr>
          <c:marker>
            <c:symbol val="none"/>
          </c:marker>
          <c:cat>
            <c:strRef>
              <c:f>Pivot!$A$17:$A$28</c:f>
              <c:strCache>
                <c:ptCount val="11"/>
                <c:pt idx="0">
                  <c:v>1</c:v>
                </c:pt>
                <c:pt idx="1">
                  <c:v>2</c:v>
                </c:pt>
                <c:pt idx="2">
                  <c:v>3</c:v>
                </c:pt>
                <c:pt idx="3">
                  <c:v>4</c:v>
                </c:pt>
                <c:pt idx="4">
                  <c:v>5</c:v>
                </c:pt>
                <c:pt idx="5">
                  <c:v>6</c:v>
                </c:pt>
                <c:pt idx="6">
                  <c:v>7</c:v>
                </c:pt>
                <c:pt idx="7">
                  <c:v>8</c:v>
                </c:pt>
                <c:pt idx="8">
                  <c:v>9</c:v>
                </c:pt>
                <c:pt idx="9">
                  <c:v>10</c:v>
                </c:pt>
                <c:pt idx="10">
                  <c:v>12</c:v>
                </c:pt>
              </c:strCache>
            </c:strRef>
          </c:cat>
          <c:val>
            <c:numRef>
              <c:f>Pivot!$D$17:$D$28</c:f>
              <c:numCache>
                <c:formatCode>General</c:formatCode>
                <c:ptCount val="11"/>
                <c:pt idx="0">
                  <c:v>2219662.1909684641</c:v>
                </c:pt>
                <c:pt idx="1">
                  <c:v>1493082.1140296885</c:v>
                </c:pt>
                <c:pt idx="2">
                  <c:v>1059748.2461238576</c:v>
                </c:pt>
                <c:pt idx="3">
                  <c:v>1567193.160329622</c:v>
                </c:pt>
                <c:pt idx="4">
                  <c:v>1860666.9948784371</c:v>
                </c:pt>
                <c:pt idx="5">
                  <c:v>1029709.0766109754</c:v>
                </c:pt>
                <c:pt idx="6">
                  <c:v>41882.792608117976</c:v>
                </c:pt>
                <c:pt idx="7">
                  <c:v>15788.4149691485</c:v>
                </c:pt>
                <c:pt idx="8">
                  <c:v>57951.268611895008</c:v>
                </c:pt>
                <c:pt idx="9">
                  <c:v>36576.9771754381</c:v>
                </c:pt>
                <c:pt idx="10">
                  <c:v>29157.853512742688</c:v>
                </c:pt>
              </c:numCache>
            </c:numRef>
          </c:val>
          <c:smooth val="0"/>
          <c:extLst>
            <c:ext xmlns:c16="http://schemas.microsoft.com/office/drawing/2014/chart" uri="{C3380CC4-5D6E-409C-BE32-E72D297353CC}">
              <c16:uniqueId val="{00000002-16A8-4841-8077-69B61CDEFDDB}"/>
            </c:ext>
          </c:extLst>
        </c:ser>
        <c:dLbls>
          <c:showLegendKey val="0"/>
          <c:showVal val="0"/>
          <c:showCatName val="0"/>
          <c:showSerName val="0"/>
          <c:showPercent val="0"/>
          <c:showBubbleSize val="0"/>
        </c:dLbls>
        <c:smooth val="0"/>
        <c:axId val="533939824"/>
        <c:axId val="533941536"/>
      </c:lineChart>
      <c:catAx>
        <c:axId val="5339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41536"/>
        <c:crosses val="autoZero"/>
        <c:auto val="1"/>
        <c:lblAlgn val="ctr"/>
        <c:lblOffset val="100"/>
        <c:noMultiLvlLbl val="0"/>
      </c:catAx>
      <c:valAx>
        <c:axId val="5339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[retail_sales_6_months.xlsx]Pivot!Sales Person Pivot</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Pivot!$A$34:$A$40</c:f>
              <c:strCache>
                <c:ptCount val="6"/>
                <c:pt idx="0">
                  <c:v>Priya</c:v>
                </c:pt>
                <c:pt idx="1">
                  <c:v>Ravi</c:v>
                </c:pt>
                <c:pt idx="2">
                  <c:v>Karthik</c:v>
                </c:pt>
                <c:pt idx="3">
                  <c:v>Meena</c:v>
                </c:pt>
                <c:pt idx="4">
                  <c:v>Arjun</c:v>
                </c:pt>
                <c:pt idx="5">
                  <c:v>Sneha</c:v>
                </c:pt>
              </c:strCache>
            </c:strRef>
          </c:cat>
          <c:val>
            <c:numRef>
              <c:f>Pivot!$B$34:$B$40</c:f>
              <c:numCache>
                <c:formatCode>General</c:formatCode>
                <c:ptCount val="6"/>
                <c:pt idx="0">
                  <c:v>7295587</c:v>
                </c:pt>
                <c:pt idx="1">
                  <c:v>6132179</c:v>
                </c:pt>
                <c:pt idx="2">
                  <c:v>5832579</c:v>
                </c:pt>
                <c:pt idx="3">
                  <c:v>5231249</c:v>
                </c:pt>
                <c:pt idx="4">
                  <c:v>5095781</c:v>
                </c:pt>
                <c:pt idx="5">
                  <c:v>4642520</c:v>
                </c:pt>
              </c:numCache>
            </c:numRef>
          </c:val>
          <c:extLst>
            <c:ext xmlns:c16="http://schemas.microsoft.com/office/drawing/2014/chart" uri="{C3380CC4-5D6E-409C-BE32-E72D297353CC}">
              <c16:uniqueId val="{00000000-A108-6341-B7F2-26ED424D9DDB}"/>
            </c:ext>
          </c:extLst>
        </c:ser>
        <c:dLbls>
          <c:showLegendKey val="0"/>
          <c:showVal val="0"/>
          <c:showCatName val="0"/>
          <c:showSerName val="0"/>
          <c:showPercent val="0"/>
          <c:showBubbleSize val="0"/>
        </c:dLbls>
        <c:gapWidth val="247"/>
        <c:axId val="523273760"/>
        <c:axId val="523276448"/>
      </c:barChart>
      <c:lineChart>
        <c:grouping val="standard"/>
        <c:varyColors val="0"/>
        <c:ser>
          <c:idx val="1"/>
          <c:order val="1"/>
          <c:tx>
            <c:strRef>
              <c:f>Pivot!$C$33</c:f>
              <c:strCache>
                <c:ptCount val="1"/>
                <c:pt idx="0">
                  <c:v>Sum of Units 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Pivot!$A$34:$A$40</c:f>
              <c:strCache>
                <c:ptCount val="6"/>
                <c:pt idx="0">
                  <c:v>Priya</c:v>
                </c:pt>
                <c:pt idx="1">
                  <c:v>Ravi</c:v>
                </c:pt>
                <c:pt idx="2">
                  <c:v>Karthik</c:v>
                </c:pt>
                <c:pt idx="3">
                  <c:v>Meena</c:v>
                </c:pt>
                <c:pt idx="4">
                  <c:v>Arjun</c:v>
                </c:pt>
                <c:pt idx="5">
                  <c:v>Sneha</c:v>
                </c:pt>
              </c:strCache>
            </c:strRef>
          </c:cat>
          <c:val>
            <c:numRef>
              <c:f>Pivot!$C$34:$C$40</c:f>
              <c:numCache>
                <c:formatCode>General</c:formatCode>
                <c:ptCount val="6"/>
                <c:pt idx="0">
                  <c:v>321</c:v>
                </c:pt>
                <c:pt idx="1">
                  <c:v>251</c:v>
                </c:pt>
                <c:pt idx="2">
                  <c:v>235</c:v>
                </c:pt>
                <c:pt idx="3">
                  <c:v>201</c:v>
                </c:pt>
                <c:pt idx="4">
                  <c:v>182</c:v>
                </c:pt>
                <c:pt idx="5">
                  <c:v>214</c:v>
                </c:pt>
              </c:numCache>
            </c:numRef>
          </c:val>
          <c:smooth val="0"/>
          <c:extLst>
            <c:ext xmlns:c16="http://schemas.microsoft.com/office/drawing/2014/chart" uri="{C3380CC4-5D6E-409C-BE32-E72D297353CC}">
              <c16:uniqueId val="{00000001-A108-6341-B7F2-26ED424D9DDB}"/>
            </c:ext>
          </c:extLst>
        </c:ser>
        <c:dLbls>
          <c:showLegendKey val="0"/>
          <c:showVal val="0"/>
          <c:showCatName val="0"/>
          <c:showSerName val="0"/>
          <c:showPercent val="0"/>
          <c:showBubbleSize val="0"/>
        </c:dLbls>
        <c:marker val="1"/>
        <c:smooth val="0"/>
        <c:axId val="695807744"/>
        <c:axId val="695729744"/>
      </c:lineChart>
      <c:catAx>
        <c:axId val="523273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6448"/>
        <c:crosses val="autoZero"/>
        <c:auto val="1"/>
        <c:lblAlgn val="ctr"/>
        <c:lblOffset val="100"/>
        <c:noMultiLvlLbl val="0"/>
      </c:catAx>
      <c:valAx>
        <c:axId val="52327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73760"/>
        <c:crosses val="autoZero"/>
        <c:crossBetween val="between"/>
      </c:valAx>
      <c:valAx>
        <c:axId val="695729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807744"/>
        <c:crosses val="max"/>
        <c:crossBetween val="between"/>
      </c:valAx>
      <c:catAx>
        <c:axId val="695807744"/>
        <c:scaling>
          <c:orientation val="minMax"/>
        </c:scaling>
        <c:delete val="1"/>
        <c:axPos val="b"/>
        <c:numFmt formatCode="General" sourceLinked="1"/>
        <c:majorTickMark val="out"/>
        <c:minorTickMark val="none"/>
        <c:tickLblPos val="nextTo"/>
        <c:crossAx val="6957297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[retail_sales_6_months.xlsx]Pivot!Region Pivot</c:name>
    <c:fmtId val="1"/>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Pivot!$A$52:$A$56</c:f>
              <c:strCache>
                <c:ptCount val="4"/>
                <c:pt idx="0">
                  <c:v>East</c:v>
                </c:pt>
                <c:pt idx="1">
                  <c:v>North</c:v>
                </c:pt>
                <c:pt idx="2">
                  <c:v>South</c:v>
                </c:pt>
                <c:pt idx="3">
                  <c:v>West</c:v>
                </c:pt>
              </c:strCache>
            </c:strRef>
          </c:cat>
          <c:val>
            <c:numRef>
              <c:f>Pivot!$B$52:$B$56</c:f>
              <c:numCache>
                <c:formatCode>General</c:formatCode>
                <c:ptCount val="4"/>
                <c:pt idx="0">
                  <c:v>30806505</c:v>
                </c:pt>
                <c:pt idx="1">
                  <c:v>33123679</c:v>
                </c:pt>
                <c:pt idx="2">
                  <c:v>34229895</c:v>
                </c:pt>
                <c:pt idx="3">
                  <c:v>30728959</c:v>
                </c:pt>
              </c:numCache>
            </c:numRef>
          </c:val>
          <c:extLst>
            <c:ext xmlns:c16="http://schemas.microsoft.com/office/drawing/2014/chart" uri="{C3380CC4-5D6E-409C-BE32-E72D297353CC}">
              <c16:uniqueId val="{00000000-F44B-F643-9682-834F01D39D93}"/>
            </c:ext>
          </c:extLst>
        </c:ser>
        <c:dLbls>
          <c:dLblPos val="inEnd"/>
          <c:showLegendKey val="0"/>
          <c:showVal val="1"/>
          <c:showCatName val="0"/>
          <c:showSerName val="0"/>
          <c:showPercent val="0"/>
          <c:showBubbleSize val="0"/>
        </c:dLbls>
        <c:gapWidth val="41"/>
        <c:axId val="1757793439"/>
        <c:axId val="1465942911"/>
      </c:barChart>
      <c:catAx>
        <c:axId val="1757793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65942911"/>
        <c:crosses val="autoZero"/>
        <c:auto val="1"/>
        <c:lblAlgn val="ctr"/>
        <c:lblOffset val="100"/>
        <c:noMultiLvlLbl val="0"/>
      </c:catAx>
      <c:valAx>
        <c:axId val="1465942911"/>
        <c:scaling>
          <c:orientation val="minMax"/>
        </c:scaling>
        <c:delete val="1"/>
        <c:axPos val="l"/>
        <c:numFmt formatCode="General" sourceLinked="1"/>
        <c:majorTickMark val="none"/>
        <c:minorTickMark val="none"/>
        <c:tickLblPos val="nextTo"/>
        <c:crossAx val="175779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[retail_sales_6_months.xlsx]Pivot!Category Pivot</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Pivot!$B$71</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3-457F-998F-8248D0A2CD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3-457F-998F-8248D0A2CDC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Pivot!$A$72:$A$74</c:f>
              <c:strCache>
                <c:ptCount val="2"/>
                <c:pt idx="0">
                  <c:v>Electronics</c:v>
                </c:pt>
                <c:pt idx="1">
                  <c:v>Furniture</c:v>
                </c:pt>
              </c:strCache>
            </c:strRef>
          </c:cat>
          <c:val>
            <c:numRef>
              <c:f>Pivot!$B$72:$B$74</c:f>
              <c:numCache>
                <c:formatCode>0.00%</c:formatCode>
                <c:ptCount val="2"/>
                <c:pt idx="0">
                  <c:v>0.70029487382301348</c:v>
                </c:pt>
                <c:pt idx="1">
                  <c:v>0.29970512617698652</c:v>
                </c:pt>
              </c:numCache>
            </c:numRef>
          </c:val>
          <c:extLst>
            <c:ext xmlns:c16="http://schemas.microsoft.com/office/drawing/2014/chart" uri="{C3380CC4-5D6E-409C-BE32-E72D297353CC}">
              <c16:uniqueId val="{00000000-FF40-8C4B-B02C-DCE5C9E4BDB6}"/>
            </c:ext>
          </c:extLst>
        </c:ser>
        <c:dLbls>
          <c:dLblPos val="inEnd"/>
          <c:showLegendKey val="0"/>
          <c:showVal val="0"/>
          <c:showCatName val="0"/>
          <c:showSerName val="0"/>
          <c:showPercent val="0"/>
          <c:showBubbleSize val="0"/>
          <c:showLeaderLines val="0"/>
        </c:dLbls>
        <c:firstSliceAng val="7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[retail_sales_6_months.xlsx]Pivot!PivotTable2</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Rank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Pivot!$B$85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Pivot!$A$86:$A$93</c:f>
              <c:strCache>
                <c:ptCount val="7"/>
                <c:pt idx="0">
                  <c:v>Headphones</c:v>
                </c:pt>
                <c:pt idx="1">
                  <c:v>Chair</c:v>
                </c:pt>
                <c:pt idx="2">
                  <c:v>Laptop</c:v>
                </c:pt>
                <c:pt idx="3">
                  <c:v>Mobile</c:v>
                </c:pt>
                <c:pt idx="4">
                  <c:v>Printer</c:v>
                </c:pt>
                <c:pt idx="5">
                  <c:v>Table</c:v>
                </c:pt>
                <c:pt idx="6">
                  <c:v>Monitor</c:v>
                </c:pt>
              </c:strCache>
            </c:strRef>
          </c:cat>
          <c:val>
            <c:numRef>
              <c:f>Pivot!$B$86:$B$93</c:f>
              <c:numCache>
                <c:formatCode>General</c:formatCode>
                <c:ptCount val="7"/>
                <c:pt idx="0">
                  <c:v>7314367</c:v>
                </c:pt>
                <c:pt idx="1">
                  <c:v>6456993</c:v>
                </c:pt>
                <c:pt idx="2">
                  <c:v>5254999</c:v>
                </c:pt>
                <c:pt idx="3">
                  <c:v>4561640</c:v>
                </c:pt>
                <c:pt idx="4">
                  <c:v>3891939</c:v>
                </c:pt>
                <c:pt idx="5">
                  <c:v>3801882</c:v>
                </c:pt>
                <c:pt idx="6">
                  <c:v>2948075</c:v>
                </c:pt>
              </c:numCache>
            </c:numRef>
          </c:val>
          <c:extLst>
            <c:ext xmlns:c16="http://schemas.microsoft.com/office/drawing/2014/chart" uri="{C3380CC4-5D6E-409C-BE32-E72D297353CC}">
              <c16:uniqueId val="{00000000-A40B-5E4E-9FF0-7AF646F7A333}"/>
            </c:ext>
          </c:extLst>
        </c:ser>
        <c:dLbls>
          <c:dLblPos val="ctr"/>
          <c:showLegendKey val="0"/>
          <c:showVal val="1"/>
          <c:showCatName val="0"/>
          <c:showSerName val="0"/>
          <c:showPercent val="0"/>
          <c:showBubbleSize val="0"/>
        </c:dLbls>
        <c:gapWidth val="150"/>
        <c:overlap val="100"/>
        <c:axId val="1146136528"/>
        <c:axId val="1146218272"/>
      </c:barChart>
      <c:catAx>
        <c:axId val="1146136528"/>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18272"/>
        <c:crosses val="autoZero"/>
        <c:auto val="1"/>
        <c:lblAlgn val="ctr"/>
        <c:lblOffset val="100"/>
        <c:noMultiLvlLbl val="0"/>
      </c:catAx>
      <c:valAx>
        <c:axId val="114621827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13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66675</xdr:rowOff>
    </xdr:from>
    <xdr:to>
      <xdr:col>3</xdr:col>
      <xdr:colOff>177800</xdr:colOff>
      <xdr:row>43</xdr:row>
      <xdr:rowOff>127000</xdr:rowOff>
    </xdr:to>
    <xdr:sp macro="" textlink="">
      <xdr:nvSpPr>
        <xdr:cNvPr id="3" name="Rectangle 2">
          <a:extLst>
            <a:ext uri="{FF2B5EF4-FFF2-40B4-BE49-F238E27FC236}">
              <a16:creationId xmlns:a16="http://schemas.microsoft.com/office/drawing/2014/main" id="{20A5E008-3EB2-F48D-C916-AE84EA438CC0}"/>
            </a:ext>
            <a:ext uri="{147F2762-F138-4A5C-976F-8EAC2B608ADB}">
              <a16:predDERef xmlns:a16="http://schemas.microsoft.com/office/drawing/2014/main" pred="{4A0161A9-C913-5736-8970-5CA1D8B335A7}"/>
            </a:ext>
          </a:extLst>
        </xdr:cNvPr>
        <xdr:cNvSpPr/>
      </xdr:nvSpPr>
      <xdr:spPr>
        <a:xfrm>
          <a:off x="76200" y="66675"/>
          <a:ext cx="2743200" cy="8251825"/>
        </a:xfrm>
        <a:prstGeom prst="rect">
          <a:avLst/>
        </a:prstGeom>
        <a:solidFill>
          <a:schemeClr val="accent5">
            <a:lumMod val="7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n>
              <a:noFill/>
            </a:ln>
            <a:solidFill>
              <a:schemeClr val="lt1"/>
            </a:solidFill>
          </a:endParaRPr>
        </a:p>
      </xdr:txBody>
    </xdr:sp>
    <xdr:clientData/>
  </xdr:twoCellAnchor>
  <xdr:twoCellAnchor>
    <xdr:from>
      <xdr:col>3</xdr:col>
      <xdr:colOff>203200</xdr:colOff>
      <xdr:row>0</xdr:row>
      <xdr:rowOff>92075</xdr:rowOff>
    </xdr:from>
    <xdr:to>
      <xdr:col>26</xdr:col>
      <xdr:colOff>69850</xdr:colOff>
      <xdr:row>43</xdr:row>
      <xdr:rowOff>139700</xdr:rowOff>
    </xdr:to>
    <xdr:sp macro="" textlink="">
      <xdr:nvSpPr>
        <xdr:cNvPr id="4" name="Rectangle 3">
          <a:extLst>
            <a:ext uri="{FF2B5EF4-FFF2-40B4-BE49-F238E27FC236}">
              <a16:creationId xmlns:a16="http://schemas.microsoft.com/office/drawing/2014/main" id="{84EFAA25-A6F8-411C-B62D-1BB684C5ED6B}"/>
            </a:ext>
            <a:ext uri="{147F2762-F138-4A5C-976F-8EAC2B608ADB}">
              <a16:predDERef xmlns:a16="http://schemas.microsoft.com/office/drawing/2014/main" pred="{20A5E008-3EB2-F48D-C916-AE84EA438CC0}"/>
            </a:ext>
          </a:extLst>
        </xdr:cNvPr>
        <xdr:cNvSpPr/>
      </xdr:nvSpPr>
      <xdr:spPr>
        <a:xfrm>
          <a:off x="2844800" y="92075"/>
          <a:ext cx="15347950" cy="8239125"/>
        </a:xfrm>
        <a:prstGeom prst="rect">
          <a:avLst/>
        </a:prstGeom>
        <a:solidFill>
          <a:schemeClr val="accent5">
            <a:lumMod val="60000"/>
            <a:lumOff val="4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a:p>
          <a:pPr algn="l"/>
          <a:endParaRPr lang="en-US"/>
        </a:p>
      </xdr:txBody>
    </xdr:sp>
    <xdr:clientData/>
  </xdr:twoCellAnchor>
  <xdr:twoCellAnchor>
    <xdr:from>
      <xdr:col>0</xdr:col>
      <xdr:colOff>76200</xdr:colOff>
      <xdr:row>8</xdr:row>
      <xdr:rowOff>98188</xdr:rowOff>
    </xdr:from>
    <xdr:to>
      <xdr:col>2</xdr:col>
      <xdr:colOff>495300</xdr:colOff>
      <xdr:row>10</xdr:row>
      <xdr:rowOff>168513</xdr:rowOff>
    </xdr:to>
    <xdr:sp macro="" textlink="Pivot!I3">
      <xdr:nvSpPr>
        <xdr:cNvPr id="2" name="TextBox 1">
          <a:extLst>
            <a:ext uri="{FF2B5EF4-FFF2-40B4-BE49-F238E27FC236}">
              <a16:creationId xmlns:a16="http://schemas.microsoft.com/office/drawing/2014/main" id="{67E9F88B-6A7C-CBCA-5DB6-0BA5FD675310}"/>
            </a:ext>
          </a:extLst>
        </xdr:cNvPr>
        <xdr:cNvSpPr txBox="1"/>
      </xdr:nvSpPr>
      <xdr:spPr>
        <a:xfrm>
          <a:off x="76200" y="1622188"/>
          <a:ext cx="2387600" cy="451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lgn="l"/>
          <a:fld id="{7EA3A452-F94A-6046-AC55-958F6F8B03C6}" type="TxLink">
            <a:rPr lang="en-US"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rPr>
            <a:pPr marL="0" indent="0" algn="l"/>
            <a:t> </a:t>
          </a:fld>
          <a:endParaRPr lang="en-GB"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endParaRPr>
        </a:p>
      </xdr:txBody>
    </xdr:sp>
    <xdr:clientData/>
  </xdr:twoCellAnchor>
  <xdr:twoCellAnchor>
    <xdr:from>
      <xdr:col>0</xdr:col>
      <xdr:colOff>76200</xdr:colOff>
      <xdr:row>14</xdr:row>
      <xdr:rowOff>66834</xdr:rowOff>
    </xdr:from>
    <xdr:to>
      <xdr:col>2</xdr:col>
      <xdr:colOff>355600</xdr:colOff>
      <xdr:row>17</xdr:row>
      <xdr:rowOff>41434</xdr:rowOff>
    </xdr:to>
    <xdr:sp macro="" textlink="Pivot!I4">
      <xdr:nvSpPr>
        <xdr:cNvPr id="6" name="TextBox 5">
          <a:extLst>
            <a:ext uri="{FF2B5EF4-FFF2-40B4-BE49-F238E27FC236}">
              <a16:creationId xmlns:a16="http://schemas.microsoft.com/office/drawing/2014/main" id="{0E6BDF5E-5247-5845-9DAD-85321C658BCD}"/>
            </a:ext>
          </a:extLst>
        </xdr:cNvPr>
        <xdr:cNvSpPr txBox="1"/>
      </xdr:nvSpPr>
      <xdr:spPr>
        <a:xfrm>
          <a:off x="76200" y="2733834"/>
          <a:ext cx="2247900" cy="546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lgn="l"/>
          <a:fld id="{0C196513-06BA-884E-AA64-2DB420DB2CE7}" type="TxLink">
            <a:rPr lang="en-US"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rPr>
            <a:pPr marL="0" indent="0" algn="l"/>
            <a:t> </a:t>
          </a:fld>
          <a:endParaRPr lang="en-GB"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endParaRPr>
        </a:p>
      </xdr:txBody>
    </xdr:sp>
    <xdr:clientData/>
  </xdr:twoCellAnchor>
  <xdr:twoCellAnchor>
    <xdr:from>
      <xdr:col>0</xdr:col>
      <xdr:colOff>76200</xdr:colOff>
      <xdr:row>20</xdr:row>
      <xdr:rowOff>130255</xdr:rowOff>
    </xdr:from>
    <xdr:to>
      <xdr:col>2</xdr:col>
      <xdr:colOff>355600</xdr:colOff>
      <xdr:row>23</xdr:row>
      <xdr:rowOff>104855</xdr:rowOff>
    </xdr:to>
    <xdr:sp macro="" textlink="Pivot!I5">
      <xdr:nvSpPr>
        <xdr:cNvPr id="7" name="TextBox 6">
          <a:extLst>
            <a:ext uri="{FF2B5EF4-FFF2-40B4-BE49-F238E27FC236}">
              <a16:creationId xmlns:a16="http://schemas.microsoft.com/office/drawing/2014/main" id="{811A71BF-30D8-BA41-BF1B-1B424F4379E9}"/>
            </a:ext>
          </a:extLst>
        </xdr:cNvPr>
        <xdr:cNvSpPr txBox="1"/>
      </xdr:nvSpPr>
      <xdr:spPr>
        <a:xfrm>
          <a:off x="76200" y="3940255"/>
          <a:ext cx="2247900" cy="546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lgn="l"/>
          <a:fld id="{F634A718-E60F-F747-8449-DE55EC7EB207}" type="TxLink">
            <a:rPr lang="en-US"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rPr>
            <a:pPr marL="0" indent="0" algn="l"/>
            <a:t> </a:t>
          </a:fld>
          <a:endParaRPr lang="en-GB"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endParaRPr>
        </a:p>
      </xdr:txBody>
    </xdr:sp>
    <xdr:clientData/>
  </xdr:twoCellAnchor>
  <xdr:twoCellAnchor>
    <xdr:from>
      <xdr:col>0</xdr:col>
      <xdr:colOff>76200</xdr:colOff>
      <xdr:row>27</xdr:row>
      <xdr:rowOff>3175</xdr:rowOff>
    </xdr:from>
    <xdr:to>
      <xdr:col>2</xdr:col>
      <xdr:colOff>355600</xdr:colOff>
      <xdr:row>29</xdr:row>
      <xdr:rowOff>168275</xdr:rowOff>
    </xdr:to>
    <xdr:sp macro="" textlink="Pivot!I7">
      <xdr:nvSpPr>
        <xdr:cNvPr id="8" name="Total Units Sold">
          <a:extLst>
            <a:ext uri="{FF2B5EF4-FFF2-40B4-BE49-F238E27FC236}">
              <a16:creationId xmlns:a16="http://schemas.microsoft.com/office/drawing/2014/main" id="{55161C50-E1AB-8148-98A3-E8774FB9AA0A}"/>
            </a:ext>
          </a:extLst>
        </xdr:cNvPr>
        <xdr:cNvSpPr txBox="1"/>
      </xdr:nvSpPr>
      <xdr:spPr>
        <a:xfrm>
          <a:off x="76200" y="5146675"/>
          <a:ext cx="2247900" cy="546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lgn="l"/>
          <a:fld id="{4ECE5C4C-86C5-AE42-B6D0-2DF524CB1938}" type="TxLink">
            <a:rPr lang="en-US"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rPr>
            <a:pPr marL="0" indent="0" algn="l"/>
            <a:t> </a:t>
          </a:fld>
          <a:endParaRPr lang="en-GB" sz="2400" b="0" i="0" u="none" strike="noStrike">
            <a:ln>
              <a:noFill/>
            </a:ln>
            <a:gradFill flip="none" rotWithShape="1">
              <a:gsLst>
                <a:gs pos="52000">
                  <a:schemeClr val="accent2">
                    <a:lumMod val="60000"/>
                    <a:lumOff val="40000"/>
                  </a:schemeClr>
                </a:gs>
                <a:gs pos="87000">
                  <a:schemeClr val="bg1"/>
                </a:gs>
                <a:gs pos="23000">
                  <a:schemeClr val="bg1"/>
                </a:gs>
                <a:gs pos="8000">
                  <a:schemeClr val="accent1">
                    <a:lumMod val="45000"/>
                    <a:lumOff val="55000"/>
                  </a:schemeClr>
                </a:gs>
                <a:gs pos="100000">
                  <a:schemeClr val="accent1">
                    <a:lumMod val="30000"/>
                    <a:lumOff val="70000"/>
                  </a:schemeClr>
                </a:gs>
              </a:gsLst>
              <a:path path="rect">
                <a:fillToRect l="100000" t="100000"/>
              </a:path>
              <a:tileRect r="-100000" b="-100000"/>
            </a:gradFill>
            <a:latin typeface="Arial Rounded MT Bold" panose="020F0704030504030204" pitchFamily="34" charset="77"/>
            <a:ea typeface="+mn-ea"/>
            <a:cs typeface="Calibri"/>
          </a:endParaRPr>
        </a:p>
      </xdr:txBody>
    </xdr:sp>
    <xdr:clientData/>
  </xdr:twoCellAnchor>
  <xdr:twoCellAnchor>
    <xdr:from>
      <xdr:col>0</xdr:col>
      <xdr:colOff>76200</xdr:colOff>
      <xdr:row>6</xdr:row>
      <xdr:rowOff>139700</xdr:rowOff>
    </xdr:from>
    <xdr:to>
      <xdr:col>1</xdr:col>
      <xdr:colOff>660400</xdr:colOff>
      <xdr:row>8</xdr:row>
      <xdr:rowOff>76200</xdr:rowOff>
    </xdr:to>
    <xdr:sp macro="" textlink="">
      <xdr:nvSpPr>
        <xdr:cNvPr id="9" name="TextBox 8">
          <a:extLst>
            <a:ext uri="{FF2B5EF4-FFF2-40B4-BE49-F238E27FC236}">
              <a16:creationId xmlns:a16="http://schemas.microsoft.com/office/drawing/2014/main" id="{9975A9BB-71E5-CB9D-42EB-9F8F577C14E4}"/>
            </a:ext>
          </a:extLst>
        </xdr:cNvPr>
        <xdr:cNvSpPr txBox="1"/>
      </xdr:nvSpPr>
      <xdr:spPr>
        <a:xfrm>
          <a:off x="76200" y="1282700"/>
          <a:ext cx="1879600"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GB" sz="1800" b="1" i="0" u="none" strike="noStrike">
              <a:ln>
                <a:noFill/>
              </a:ln>
              <a:solidFill>
                <a:schemeClr val="lt1"/>
              </a:solidFill>
              <a:latin typeface="Abadi MT Condensed Light" panose="020B0306030101010103" pitchFamily="34" charset="77"/>
              <a:ea typeface="+mn-ea"/>
              <a:cs typeface="Calibri"/>
            </a:rPr>
            <a:t>💵</a:t>
          </a:r>
          <a:r>
            <a:rPr lang="en-GB" sz="1800" b="1" i="0" u="none" strike="noStrike" baseline="0">
              <a:ln>
                <a:noFill/>
              </a:ln>
              <a:solidFill>
                <a:schemeClr val="lt1"/>
              </a:solidFill>
              <a:latin typeface="Abadi MT Condensed Light" panose="020B0306030101010103" pitchFamily="34" charset="77"/>
              <a:ea typeface="+mn-ea"/>
              <a:cs typeface="Calibri"/>
            </a:rPr>
            <a:t> </a:t>
          </a:r>
          <a:r>
            <a:rPr lang="en-GB" sz="1800" b="1" i="0" u="none" strike="noStrike">
              <a:ln>
                <a:noFill/>
              </a:ln>
              <a:solidFill>
                <a:schemeClr val="lt1"/>
              </a:solidFill>
              <a:latin typeface="Abadi MT Condensed Light" panose="020B0306030101010103" pitchFamily="34" charset="77"/>
              <a:ea typeface="+mn-ea"/>
              <a:cs typeface="Calibri"/>
            </a:rPr>
            <a:t>Revenue</a:t>
          </a:r>
        </a:p>
      </xdr:txBody>
    </xdr:sp>
    <xdr:clientData/>
  </xdr:twoCellAnchor>
  <xdr:twoCellAnchor>
    <xdr:from>
      <xdr:col>0</xdr:col>
      <xdr:colOff>76200</xdr:colOff>
      <xdr:row>12</xdr:row>
      <xdr:rowOff>79375</xdr:rowOff>
    </xdr:from>
    <xdr:to>
      <xdr:col>0</xdr:col>
      <xdr:colOff>1168400</xdr:colOff>
      <xdr:row>14</xdr:row>
      <xdr:rowOff>88900</xdr:rowOff>
    </xdr:to>
    <xdr:sp macro="" textlink="">
      <xdr:nvSpPr>
        <xdr:cNvPr id="11" name="TextBox 10">
          <a:extLst>
            <a:ext uri="{FF2B5EF4-FFF2-40B4-BE49-F238E27FC236}">
              <a16:creationId xmlns:a16="http://schemas.microsoft.com/office/drawing/2014/main" id="{B49A8D3F-07F7-F54C-8AC3-872D825B003D}"/>
            </a:ext>
          </a:extLst>
        </xdr:cNvPr>
        <xdr:cNvSpPr txBox="1"/>
      </xdr:nvSpPr>
      <xdr:spPr>
        <a:xfrm>
          <a:off x="76200" y="2365375"/>
          <a:ext cx="109220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baseline="0">
              <a:ln>
                <a:noFill/>
              </a:ln>
              <a:solidFill>
                <a:schemeClr val="lt1"/>
              </a:solidFill>
              <a:latin typeface="Calibri"/>
              <a:ea typeface="+mn-ea"/>
              <a:cs typeface="Calibri"/>
            </a:rPr>
            <a:t>💵 </a:t>
          </a:r>
          <a:r>
            <a:rPr lang="en-US" sz="1800" b="1" i="0" u="none" strike="noStrike">
              <a:ln>
                <a:noFill/>
              </a:ln>
              <a:solidFill>
                <a:schemeClr val="lt1"/>
              </a:solidFill>
              <a:latin typeface="Abadi MT Condensed Light" panose="020B0306030101010103" pitchFamily="34" charset="77"/>
              <a:ea typeface="+mn-ea"/>
              <a:cs typeface="Calibri"/>
            </a:rPr>
            <a:t>Cost</a:t>
          </a:r>
        </a:p>
      </xdr:txBody>
    </xdr:sp>
    <xdr:clientData/>
  </xdr:twoCellAnchor>
  <xdr:twoCellAnchor>
    <xdr:from>
      <xdr:col>0</xdr:col>
      <xdr:colOff>76200</xdr:colOff>
      <xdr:row>18</xdr:row>
      <xdr:rowOff>92075</xdr:rowOff>
    </xdr:from>
    <xdr:to>
      <xdr:col>0</xdr:col>
      <xdr:colOff>1168400</xdr:colOff>
      <xdr:row>20</xdr:row>
      <xdr:rowOff>101600</xdr:rowOff>
    </xdr:to>
    <xdr:sp macro="" textlink="">
      <xdr:nvSpPr>
        <xdr:cNvPr id="13" name="TextBox 12">
          <a:extLst>
            <a:ext uri="{FF2B5EF4-FFF2-40B4-BE49-F238E27FC236}">
              <a16:creationId xmlns:a16="http://schemas.microsoft.com/office/drawing/2014/main" id="{B1FB9BD2-D83A-C144-AE5E-D1A26ECC3726}"/>
            </a:ext>
          </a:extLst>
        </xdr:cNvPr>
        <xdr:cNvSpPr txBox="1"/>
      </xdr:nvSpPr>
      <xdr:spPr>
        <a:xfrm>
          <a:off x="76200" y="3521075"/>
          <a:ext cx="109220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baseline="0">
              <a:ln>
                <a:noFill/>
              </a:ln>
              <a:solidFill>
                <a:schemeClr val="lt1"/>
              </a:solidFill>
              <a:latin typeface="Calibri"/>
              <a:ea typeface="+mn-ea"/>
              <a:cs typeface="Calibri"/>
            </a:rPr>
            <a:t>💵 </a:t>
          </a:r>
          <a:r>
            <a:rPr lang="en-US" sz="1800" b="1" i="0" u="none" strike="noStrike">
              <a:ln>
                <a:noFill/>
              </a:ln>
              <a:solidFill>
                <a:schemeClr val="lt1"/>
              </a:solidFill>
              <a:latin typeface="Abadi MT Condensed Light" panose="020B0306030101010103" pitchFamily="34" charset="77"/>
              <a:ea typeface="+mn-ea"/>
              <a:cs typeface="Calibri"/>
            </a:rPr>
            <a:t>Profit</a:t>
          </a:r>
        </a:p>
      </xdr:txBody>
    </xdr:sp>
    <xdr:clientData/>
  </xdr:twoCellAnchor>
  <xdr:twoCellAnchor>
    <xdr:from>
      <xdr:col>0</xdr:col>
      <xdr:colOff>76200</xdr:colOff>
      <xdr:row>24</xdr:row>
      <xdr:rowOff>168275</xdr:rowOff>
    </xdr:from>
    <xdr:to>
      <xdr:col>1</xdr:col>
      <xdr:colOff>482600</xdr:colOff>
      <xdr:row>26</xdr:row>
      <xdr:rowOff>177800</xdr:rowOff>
    </xdr:to>
    <xdr:sp macro="" textlink="">
      <xdr:nvSpPr>
        <xdr:cNvPr id="14" name="TextBox 13">
          <a:extLst>
            <a:ext uri="{FF2B5EF4-FFF2-40B4-BE49-F238E27FC236}">
              <a16:creationId xmlns:a16="http://schemas.microsoft.com/office/drawing/2014/main" id="{8CBE63C6-2949-FD4E-97A8-DC8E350D1F45}"/>
            </a:ext>
          </a:extLst>
        </xdr:cNvPr>
        <xdr:cNvSpPr txBox="1"/>
      </xdr:nvSpPr>
      <xdr:spPr>
        <a:xfrm>
          <a:off x="76200" y="4740275"/>
          <a:ext cx="170180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baseline="0">
              <a:ln>
                <a:noFill/>
              </a:ln>
              <a:solidFill>
                <a:schemeClr val="lt1"/>
              </a:solidFill>
              <a:latin typeface="Calibri"/>
              <a:ea typeface="+mn-ea"/>
              <a:cs typeface="Calibri"/>
            </a:rPr>
            <a:t>🛒</a:t>
          </a:r>
          <a:r>
            <a:rPr lang="en-US" sz="1800" b="1" i="0" u="none" strike="noStrike">
              <a:ln>
                <a:noFill/>
              </a:ln>
              <a:solidFill>
                <a:schemeClr val="lt1"/>
              </a:solidFill>
              <a:latin typeface="Abadi MT Condensed Light" panose="020B0306030101010103" pitchFamily="34" charset="77"/>
              <a:ea typeface="+mn-ea"/>
              <a:cs typeface="Calibri"/>
            </a:rPr>
            <a:t>🛒Units</a:t>
          </a:r>
          <a:r>
            <a:rPr lang="en-US" sz="1100" b="0" i="0" u="none" strike="noStrike" baseline="0">
              <a:ln>
                <a:noFill/>
              </a:ln>
              <a:solidFill>
                <a:schemeClr val="lt1"/>
              </a:solidFill>
              <a:latin typeface="Calibri"/>
              <a:ea typeface="+mn-ea"/>
              <a:cs typeface="Calibri"/>
            </a:rPr>
            <a:t> </a:t>
          </a:r>
          <a:r>
            <a:rPr lang="en-US" sz="1800" b="1" i="0" u="none" strike="noStrike">
              <a:ln>
                <a:noFill/>
              </a:ln>
              <a:solidFill>
                <a:schemeClr val="lt1"/>
              </a:solidFill>
              <a:latin typeface="Abadi MT Condensed Light" panose="020B0306030101010103" pitchFamily="34" charset="77"/>
              <a:ea typeface="+mn-ea"/>
              <a:cs typeface="Calibri"/>
            </a:rPr>
            <a:t>Sold</a:t>
          </a:r>
        </a:p>
      </xdr:txBody>
    </xdr:sp>
    <xdr:clientData/>
  </xdr:twoCellAnchor>
  <xdr:twoCellAnchor>
    <xdr:from>
      <xdr:col>3</xdr:col>
      <xdr:colOff>533400</xdr:colOff>
      <xdr:row>9</xdr:row>
      <xdr:rowOff>3175</xdr:rowOff>
    </xdr:from>
    <xdr:to>
      <xdr:col>10</xdr:col>
      <xdr:colOff>393700</xdr:colOff>
      <xdr:row>23</xdr:row>
      <xdr:rowOff>79375</xdr:rowOff>
    </xdr:to>
    <xdr:graphicFrame macro="">
      <xdr:nvGraphicFramePr>
        <xdr:cNvPr id="16" name="Chart 15">
          <a:extLst>
            <a:ext uri="{FF2B5EF4-FFF2-40B4-BE49-F238E27FC236}">
              <a16:creationId xmlns:a16="http://schemas.microsoft.com/office/drawing/2014/main" id="{45B2EA2E-191B-514E-B7F3-187E04E3F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0</xdr:row>
      <xdr:rowOff>114300</xdr:rowOff>
    </xdr:from>
    <xdr:to>
      <xdr:col>20</xdr:col>
      <xdr:colOff>203200</xdr:colOff>
      <xdr:row>15</xdr:row>
      <xdr:rowOff>41275</xdr:rowOff>
    </xdr:to>
    <xdr:graphicFrame macro="">
      <xdr:nvGraphicFramePr>
        <xdr:cNvPr id="17" name="Chart 16">
          <a:extLst>
            <a:ext uri="{FF2B5EF4-FFF2-40B4-BE49-F238E27FC236}">
              <a16:creationId xmlns:a16="http://schemas.microsoft.com/office/drawing/2014/main" id="{E9547AAF-CBD3-5F4F-978C-CD98B129D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508000</xdr:colOff>
      <xdr:row>25</xdr:row>
      <xdr:rowOff>155575</xdr:rowOff>
    </xdr:from>
    <xdr:to>
      <xdr:col>10</xdr:col>
      <xdr:colOff>368300</xdr:colOff>
      <xdr:row>40</xdr:row>
      <xdr:rowOff>41275</xdr:rowOff>
    </xdr:to>
    <xdr:graphicFrame macro="">
      <xdr:nvGraphicFramePr>
        <xdr:cNvPr id="5" name="Chart 4">
          <a:extLst>
            <a:ext uri="{FF2B5EF4-FFF2-40B4-BE49-F238E27FC236}">
              <a16:creationId xmlns:a16="http://schemas.microsoft.com/office/drawing/2014/main" id="{7F388FAA-E95A-2E4B-8157-EF8269E38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292100</xdr:colOff>
      <xdr:row>1</xdr:row>
      <xdr:rowOff>92075</xdr:rowOff>
    </xdr:from>
    <xdr:to>
      <xdr:col>25</xdr:col>
      <xdr:colOff>381000</xdr:colOff>
      <xdr:row>15</xdr:row>
      <xdr:rowOff>38100</xdr:rowOff>
    </xdr:to>
    <xdr:graphicFrame macro="">
      <xdr:nvGraphicFramePr>
        <xdr:cNvPr id="10" name="Chart 9">
          <a:extLst>
            <a:ext uri="{FF2B5EF4-FFF2-40B4-BE49-F238E27FC236}">
              <a16:creationId xmlns:a16="http://schemas.microsoft.com/office/drawing/2014/main" id="{56FA5A33-B58C-8843-9B9D-D5D5E870D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1</xdr:row>
      <xdr:rowOff>76200</xdr:rowOff>
    </xdr:from>
    <xdr:to>
      <xdr:col>2</xdr:col>
      <xdr:colOff>647700</xdr:colOff>
      <xdr:row>3</xdr:row>
      <xdr:rowOff>50800</xdr:rowOff>
    </xdr:to>
    <xdr:sp macro="" textlink="">
      <xdr:nvSpPr>
        <xdr:cNvPr id="12" name="TextBox 11">
          <a:extLst>
            <a:ext uri="{FF2B5EF4-FFF2-40B4-BE49-F238E27FC236}">
              <a16:creationId xmlns:a16="http://schemas.microsoft.com/office/drawing/2014/main" id="{A321F537-0060-3828-4109-8CFCDF25521D}"/>
            </a:ext>
          </a:extLst>
        </xdr:cNvPr>
        <xdr:cNvSpPr txBox="1"/>
      </xdr:nvSpPr>
      <xdr:spPr>
        <a:xfrm>
          <a:off x="228600" y="266700"/>
          <a:ext cx="2387600" cy="355600"/>
        </a:xfrm>
        <a:prstGeom prst="rect">
          <a:avLst/>
        </a:prstGeom>
        <a:noFill/>
        <a:ln w="9525" cmpd="sng">
          <a:solidFill>
            <a:schemeClr val="lt1">
              <a:shade val="50000"/>
            </a:schemeClr>
          </a:solidFill>
        </a:ln>
        <a:effectLst>
          <a:reflection blurRad="6350" stA="50000" endA="300" endPos="90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r>
            <a:rPr lang="en-GB" sz="1800" b="1" cap="none" spc="0">
              <a:ln/>
              <a:solidFill>
                <a:srgbClr val="163804"/>
              </a:solidFill>
              <a:effectLst/>
            </a:rPr>
            <a:t>Retail Sales</a:t>
          </a:r>
          <a:r>
            <a:rPr lang="en-GB" sz="1800" b="1" cap="none" spc="0" baseline="0">
              <a:ln/>
              <a:solidFill>
                <a:srgbClr val="163804"/>
              </a:solidFill>
              <a:effectLst/>
            </a:rPr>
            <a:t> Dashboard</a:t>
          </a:r>
          <a:endParaRPr lang="en-GB" sz="1800" b="1" cap="none" spc="0">
            <a:ln/>
            <a:solidFill>
              <a:srgbClr val="163804"/>
            </a:solidFill>
            <a:effectLst/>
          </a:endParaRPr>
        </a:p>
      </xdr:txBody>
    </xdr:sp>
    <xdr:clientData/>
  </xdr:twoCellAnchor>
  <xdr:twoCellAnchor editAs="oneCell">
    <xdr:from>
      <xdr:col>4</xdr:col>
      <xdr:colOff>88900</xdr:colOff>
      <xdr:row>1</xdr:row>
      <xdr:rowOff>180975</xdr:rowOff>
    </xdr:from>
    <xdr:to>
      <xdr:col>6</xdr:col>
      <xdr:colOff>571500</xdr:colOff>
      <xdr:row>6</xdr:row>
      <xdr:rowOff>130843</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0CE635D9-3411-7A4E-B9FF-2A6585F8CB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03600" y="371475"/>
              <a:ext cx="1828800" cy="9023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393700</xdr:colOff>
      <xdr:row>1</xdr:row>
      <xdr:rowOff>92075</xdr:rowOff>
    </xdr:from>
    <xdr:to>
      <xdr:col>10</xdr:col>
      <xdr:colOff>203200</xdr:colOff>
      <xdr:row>8</xdr:row>
      <xdr:rowOff>76200</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D035C678-C7F4-0845-BCE4-B8523321E7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27700" y="282575"/>
              <a:ext cx="1828800" cy="1317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491613</xdr:colOff>
      <xdr:row>16</xdr:row>
      <xdr:rowOff>81934</xdr:rowOff>
    </xdr:from>
    <xdr:to>
      <xdr:col>25</xdr:col>
      <xdr:colOff>355054</xdr:colOff>
      <xdr:row>40</xdr:row>
      <xdr:rowOff>95590</xdr:rowOff>
    </xdr:to>
    <xdr:graphicFrame macro="">
      <xdr:nvGraphicFramePr>
        <xdr:cNvPr id="24" name="Chart 23">
          <a:extLst>
            <a:ext uri="{FF2B5EF4-FFF2-40B4-BE49-F238E27FC236}">
              <a16:creationId xmlns:a16="http://schemas.microsoft.com/office/drawing/2014/main" id="{7D76CFEA-0DD7-4B4B-8E79-260343D87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419100</xdr:colOff>
      <xdr:row>1</xdr:row>
      <xdr:rowOff>92075</xdr:rowOff>
    </xdr:from>
    <xdr:to>
      <xdr:col>13</xdr:col>
      <xdr:colOff>228599</xdr:colOff>
      <xdr:row>14</xdr:row>
      <xdr:rowOff>44444</xdr:rowOff>
    </xdr:to>
    <mc:AlternateContent xmlns:mc="http://schemas.openxmlformats.org/markup-compatibility/2006" xmlns:a14="http://schemas.microsoft.com/office/drawing/2010/main">
      <mc:Choice Requires="a14">
        <xdr:graphicFrame macro="">
          <xdr:nvGraphicFramePr>
            <xdr:cNvPr id="26" name="Months (Order Date)">
              <a:extLst>
                <a:ext uri="{FF2B5EF4-FFF2-40B4-BE49-F238E27FC236}">
                  <a16:creationId xmlns:a16="http://schemas.microsoft.com/office/drawing/2014/main" id="{EFE7896B-8046-8B4E-9E5E-52218326C99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772400" y="282575"/>
              <a:ext cx="1828799"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582642</xdr:colOff>
      <xdr:row>14</xdr:row>
      <xdr:rowOff>82215</xdr:rowOff>
    </xdr:from>
    <xdr:to>
      <xdr:col>8</xdr:col>
      <xdr:colOff>1199817</xdr:colOff>
      <xdr:row>28</xdr:row>
      <xdr:rowOff>174012</xdr:rowOff>
    </xdr:to>
    <xdr:graphicFrame macro="">
      <xdr:nvGraphicFramePr>
        <xdr:cNvPr id="2" name="Chart 1">
          <a:extLst>
            <a:ext uri="{FF2B5EF4-FFF2-40B4-BE49-F238E27FC236}">
              <a16:creationId xmlns:a16="http://schemas.microsoft.com/office/drawing/2014/main" id="{640B3BE5-4580-441A-BAE7-79D293554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187158</xdr:colOff>
      <xdr:row>30</xdr:row>
      <xdr:rowOff>143487</xdr:rowOff>
    </xdr:from>
    <xdr:to>
      <xdr:col>8</xdr:col>
      <xdr:colOff>759772</xdr:colOff>
      <xdr:row>45</xdr:row>
      <xdr:rowOff>45898</xdr:rowOff>
    </xdr:to>
    <xdr:graphicFrame macro="">
      <xdr:nvGraphicFramePr>
        <xdr:cNvPr id="4" name="Chart 3">
          <a:extLst>
            <a:ext uri="{FF2B5EF4-FFF2-40B4-BE49-F238E27FC236}">
              <a16:creationId xmlns:a16="http://schemas.microsoft.com/office/drawing/2014/main" id="{EAAA1621-6990-99D9-AA7B-8F762FDBB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203869</xdr:colOff>
      <xdr:row>47</xdr:row>
      <xdr:rowOff>110068</xdr:rowOff>
    </xdr:from>
    <xdr:to>
      <xdr:col>8</xdr:col>
      <xdr:colOff>821045</xdr:colOff>
      <xdr:row>62</xdr:row>
      <xdr:rowOff>12478</xdr:rowOff>
    </xdr:to>
    <xdr:graphicFrame macro="">
      <xdr:nvGraphicFramePr>
        <xdr:cNvPr id="3" name="Chart 2">
          <a:extLst>
            <a:ext uri="{FF2B5EF4-FFF2-40B4-BE49-F238E27FC236}">
              <a16:creationId xmlns:a16="http://schemas.microsoft.com/office/drawing/2014/main" id="{D33CCE5E-38C6-1EEC-DC8B-2F3FFE281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215009</xdr:colOff>
      <xdr:row>64</xdr:row>
      <xdr:rowOff>154628</xdr:rowOff>
    </xdr:from>
    <xdr:to>
      <xdr:col>8</xdr:col>
      <xdr:colOff>832185</xdr:colOff>
      <xdr:row>79</xdr:row>
      <xdr:rowOff>57039</xdr:rowOff>
    </xdr:to>
    <xdr:graphicFrame macro="">
      <xdr:nvGraphicFramePr>
        <xdr:cNvPr id="5" name="Chart 4">
          <a:extLst>
            <a:ext uri="{FF2B5EF4-FFF2-40B4-BE49-F238E27FC236}">
              <a16:creationId xmlns:a16="http://schemas.microsoft.com/office/drawing/2014/main" id="{D8D37C93-51DC-AF49-7AA0-EE783CBE9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541421</xdr:colOff>
      <xdr:row>68</xdr:row>
      <xdr:rowOff>122545</xdr:rowOff>
    </xdr:from>
    <xdr:to>
      <xdr:col>13</xdr:col>
      <xdr:colOff>53028</xdr:colOff>
      <xdr:row>73</xdr:row>
      <xdr:rowOff>77984</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629E6B6B-3513-CD68-4FBC-9C0AB25452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53439" y="13000791"/>
              <a:ext cx="1828800" cy="9023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485719</xdr:colOff>
      <xdr:row>39</xdr:row>
      <xdr:rowOff>116305</xdr:rowOff>
    </xdr:from>
    <xdr:to>
      <xdr:col>12</xdr:col>
      <xdr:colOff>509950</xdr:colOff>
      <xdr:row>52</xdr:row>
      <xdr:rowOff>83157</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1A781AC-3575-C9E2-3678-F856FB8500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97737" y="7502358"/>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215010</xdr:colOff>
      <xdr:row>80</xdr:row>
      <xdr:rowOff>143488</xdr:rowOff>
    </xdr:from>
    <xdr:to>
      <xdr:col>8</xdr:col>
      <xdr:colOff>832186</xdr:colOff>
      <xdr:row>95</xdr:row>
      <xdr:rowOff>45898</xdr:rowOff>
    </xdr:to>
    <xdr:graphicFrame macro="">
      <xdr:nvGraphicFramePr>
        <xdr:cNvPr id="15" name="Chart 14">
          <a:extLst>
            <a:ext uri="{FF2B5EF4-FFF2-40B4-BE49-F238E27FC236}">
              <a16:creationId xmlns:a16="http://schemas.microsoft.com/office/drawing/2014/main" id="{C9C72107-A348-3EEF-ABD3-42C070510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sika Arunraj" refreshedDate="46093.083678009258" createdVersion="8" refreshedVersion="8" minRefreshableVersion="3" recordCount="1050" xr:uid="{2BE7429F-994A-4C05-86B9-43E8C490EA60}">
  <cacheSource type="worksheet">
    <worksheetSource name="data_tab"/>
  </cacheSource>
  <cacheFields count="16">
    <cacheField name="Order Date" numFmtId="14">
      <sharedItems containsSemiMixedTypes="0" containsNonDate="0" containsDate="1" containsString="0" minDate="2026-01-01T00:00:00" maxDate="2026-12-06T00:00:00" count="207">
        <d v="2026-06-13T00:00:00"/>
        <d v="2026-04-19T00:00:00"/>
        <d v="2026-02-26T00:00:00"/>
        <d v="2026-08-04T00:00:00"/>
        <d v="2026-05-22T00:00:00"/>
        <d v="2026-03-01T00:00:00"/>
        <d v="2026-06-05T00:00:00"/>
        <d v="2026-01-15T00:00:00"/>
        <d v="2026-05-08T00:00:00"/>
        <d v="2026-05-30T00:00:00"/>
        <d v="2026-04-09T00:00:00"/>
        <d v="2026-06-14T00:00:00"/>
        <d v="2026-03-20T00:00:00"/>
        <d v="2026-05-21T00:00:00"/>
        <d v="2026-04-06T00:00:00"/>
        <d v="2026-11-06T00:00:00"/>
        <d v="2026-05-27T00:00:00"/>
        <d v="2026-01-14T00:00:00"/>
        <d v="2026-03-13T00:00:00"/>
        <d v="2026-02-03T00:00:00"/>
        <d v="2026-04-27T00:00:00"/>
        <d v="2026-03-22T00:00:00"/>
        <d v="2026-01-18T00:00:00"/>
        <d v="2026-03-08T00:00:00"/>
        <d v="2026-01-03T00:00:00"/>
        <d v="2026-04-05T00:00:00"/>
        <d v="2026-02-04T00:00:00"/>
        <d v="2026-05-10T00:00:00"/>
        <d v="2026-02-11T00:00:00"/>
        <d v="2026-02-07T00:00:00"/>
        <d v="2026-04-15T00:00:00"/>
        <d v="2026-06-21T00:00:00"/>
        <d v="2026-04-28T00:00:00"/>
        <d v="2026-04-22T00:00:00"/>
        <d v="2026-05-18T00:00:00"/>
        <d v="2026-02-01T00:00:00"/>
        <d v="2026-06-23T00:00:00"/>
        <d v="2026-03-24T00:00:00"/>
        <d v="2026-03-02T00:00:00"/>
        <d v="2026-06-11T00:00:00"/>
        <d v="2026-01-28T00:00:00"/>
        <d v="2026-05-16T00:00:00"/>
        <d v="2026-05-02T00:00:00"/>
        <d v="2026-03-27T00:00:00"/>
        <d v="2026-04-30T00:00:00"/>
        <d v="2026-04-18T00:00:00"/>
        <d v="2026-04-14T00:00:00"/>
        <d v="2026-02-16T00:00:00"/>
        <d v="2026-05-03T00:00:00"/>
        <d v="2026-05-04T00:00:00"/>
        <d v="2026-04-07T00:00:00"/>
        <d v="2026-03-30T00:00:00"/>
        <d v="2026-02-09T00:00:00"/>
        <d v="2026-03-04T00:00:00"/>
        <d v="2026-05-05T00:00:00"/>
        <d v="2026-05-06T00:00:00"/>
        <d v="2026-01-26T00:00:00"/>
        <d v="2026-06-28T00:00:00"/>
        <d v="2026-03-06T00:00:00"/>
        <d v="2026-03-19T00:00:00"/>
        <d v="2026-04-24T00:00:00"/>
        <d v="2026-02-24T00:00:00"/>
        <d v="2026-03-15T00:00:00"/>
        <d v="2026-05-12T00:00:00"/>
        <d v="2026-03-21T00:00:00"/>
        <d v="2026-06-30T00:00:00"/>
        <d v="2026-03-03T00:00:00"/>
        <d v="2026-06-16T00:00:00"/>
        <d v="2026-02-28T00:00:00"/>
        <d v="2026-04-02T00:00:00"/>
        <d v="2026-10-02T00:00:00"/>
        <d v="2026-05-25T00:00:00"/>
        <d v="2026-06-18T00:00:00"/>
        <d v="2026-04-17T00:00:00"/>
        <d v="2026-03-17T00:00:00"/>
        <d v="2026-05-23T00:00:00"/>
        <d v="2026-04-29T00:00:00"/>
        <d v="2026-06-15T00:00:00"/>
        <d v="2026-02-06T00:00:00"/>
        <d v="2026-04-25T00:00:00"/>
        <d v="2026-07-02T00:00:00"/>
        <d v="2026-01-30T00:00:00"/>
        <d v="2026-06-27T00:00:00"/>
        <d v="2026-06-12T00:00:00"/>
        <d v="2026-05-26T00:00:00"/>
        <d v="2026-04-21T00:00:00"/>
        <d v="2026-01-05T00:00:00"/>
        <d v="2026-02-13T00:00:00"/>
        <d v="2026-06-10T00:00:00"/>
        <d v="2026-02-08T00:00:00"/>
        <d v="2026-01-11T00:00:00"/>
        <d v="2026-03-29T00:00:00"/>
        <d v="2026-06-19T00:00:00"/>
        <d v="2026-06-25T00:00:00"/>
        <d v="2026-04-23T00:00:00"/>
        <d v="2026-05-01T00:00:00"/>
        <d v="2026-03-14T00:00:00"/>
        <d v="2026-03-31T00:00:00"/>
        <d v="2026-02-25T00:00:00"/>
        <d v="2026-01-01T00:00:00"/>
        <d v="2026-03-26T00:00:00"/>
        <d v="2026-05-13T00:00:00"/>
        <d v="2026-02-17T00:00:00"/>
        <d v="2026-01-17T00:00:00"/>
        <d v="2026-07-05T00:00:00"/>
        <d v="2026-02-27T00:00:00"/>
        <d v="2026-01-24T00:00:00"/>
        <d v="2026-08-01T00:00:00"/>
        <d v="2026-03-16T00:00:00"/>
        <d v="2026-02-10T00:00:00"/>
        <d v="2026-05-24T00:00:00"/>
        <d v="2026-06-06T00:00:00"/>
        <d v="2026-09-05T00:00:00"/>
        <d v="2026-05-28T00:00:00"/>
        <d v="2026-01-29T00:00:00"/>
        <d v="2026-01-16T00:00:00"/>
        <d v="2026-05-20T00:00:00"/>
        <d v="2026-03-18T00:00:00"/>
        <d v="2026-03-07T00:00:00"/>
        <d v="2026-01-04T00:00:00"/>
        <d v="2026-01-31T00:00:00"/>
        <d v="2026-05-14T00:00:00"/>
        <d v="2026-05-15T00:00:00"/>
        <d v="2026-06-17T00:00:00"/>
        <d v="2026-12-04T00:00:00"/>
        <d v="2026-01-12T00:00:00"/>
        <d v="2026-04-12T00:00:00"/>
        <d v="2026-06-26T00:00:00"/>
        <d v="2026-04-10T00:00:00"/>
        <d v="2026-01-07T00:00:00"/>
        <d v="2026-02-05T00:00:00"/>
        <d v="2026-05-11T00:00:00"/>
        <d v="2026-06-22T00:00:00"/>
        <d v="2026-02-19T00:00:00"/>
        <d v="2026-03-05T00:00:00"/>
        <d v="2026-05-31T00:00:00"/>
        <d v="2026-05-17T00:00:00"/>
        <d v="2026-04-03T00:00:00"/>
        <d v="2026-04-20T00:00:00"/>
        <d v="2026-09-04T00:00:00"/>
        <d v="2026-04-04T00:00:00"/>
        <d v="2026-01-21T00:00:00"/>
        <d v="2026-06-20T00:00:00"/>
        <d v="2026-08-03T00:00:00"/>
        <d v="2026-01-10T00:00:00"/>
        <d v="2026-06-04T00:00:00"/>
        <d v="2026-05-29T00:00:00"/>
        <d v="2026-01-27T00:00:00"/>
        <d v="2026-02-14T00:00:00"/>
        <d v="2026-03-23T00:00:00"/>
        <d v="2026-06-01T00:00:00"/>
        <d v="2026-05-07T00:00:00"/>
        <d v="2026-02-21T00:00:00"/>
        <d v="2026-08-05T00:00:00"/>
        <d v="2026-07-04T00:00:00"/>
        <d v="2026-03-10T00:00:00"/>
        <d v="2026-03-09T00:00:00"/>
        <d v="2026-06-24T00:00:00"/>
        <d v="2026-03-12T00:00:00"/>
        <d v="2026-06-03T00:00:00"/>
        <d v="2026-08-02T00:00:00"/>
        <d v="2026-01-23T00:00:00"/>
        <d v="2026-01-06T00:00:00"/>
        <d v="2026-01-13T00:00:00"/>
        <d v="2026-12-01T00:00:00"/>
        <d v="2026-12-02T00:00:00"/>
        <d v="2026-01-25T00:00:00"/>
        <d v="2026-02-18T00:00:00"/>
        <d v="2026-04-26T00:00:00"/>
        <d v="2026-01-02T00:00:00"/>
        <d v="2026-06-07T00:00:00"/>
        <d v="2026-12-05T00:00:00"/>
        <d v="2026-04-16T00:00:00"/>
        <d v="2026-02-22T00:00:00"/>
        <d v="2026-03-28T00:00:00"/>
        <d v="2026-10-05T00:00:00"/>
        <d v="2026-01-09T00:00:00"/>
        <d v="2026-04-08T00:00:00"/>
        <d v="2026-05-19T00:00:00"/>
        <d v="2026-03-25T00:00:00"/>
        <d v="2026-10-06T00:00:00"/>
        <d v="2026-02-15T00:00:00"/>
        <d v="2026-04-13T00:00:00"/>
        <d v="2026-09-03T00:00:00"/>
        <d v="2026-12-03T00:00:00"/>
        <d v="2026-06-08T00:00:00"/>
        <d v="2026-06-09T00:00:00"/>
        <d v="2026-06-02T00:00:00"/>
        <d v="2026-01-19T00:00:00"/>
        <d v="2026-01-22T00:00:00"/>
        <d v="2026-09-01T00:00:00"/>
        <d v="2026-02-12T00:00:00"/>
        <d v="2026-09-02T00:00:00"/>
        <d v="2026-01-20T00:00:00"/>
        <d v="2026-04-11T00:00:00"/>
        <d v="2026-06-29T00:00:00"/>
        <d v="2026-01-08T00:00:00"/>
        <d v="2026-10-03T00:00:00"/>
        <d v="2026-02-23T00:00:00"/>
        <d v="2026-11-04T00:00:00"/>
        <d v="2026-02-02T00:00:00"/>
        <d v="2026-11-02T00:00:00"/>
        <d v="2026-04-01T00:00:00"/>
        <d v="2026-10-04T00:00:00"/>
        <d v="2026-11-05T00:00:00"/>
        <d v="2026-03-11T00:00:00"/>
        <d v="2026-05-09T00:00:00"/>
      </sharedItems>
      <fieldGroup par="15"/>
    </cacheField>
    <cacheField name="Month" numFmtId="0">
      <sharedItems containsSemiMixedTypes="0" containsString="0" containsNumber="1" containsInteger="1" minValue="1" maxValue="12" count="12">
        <n v="6"/>
        <n v="4"/>
        <n v="2"/>
        <n v="8"/>
        <n v="5"/>
        <n v="3"/>
        <n v="1"/>
        <n v="11"/>
        <n v="10"/>
        <n v="7"/>
        <n v="9"/>
        <n v="12"/>
      </sharedItems>
    </cacheField>
    <cacheField name="Year" numFmtId="0">
      <sharedItems containsSemiMixedTypes="0" containsString="0" containsNumber="1" containsInteger="1" minValue="2026" maxValue="2026"/>
    </cacheField>
    <cacheField name="Product" numFmtId="0">
      <sharedItems count="7">
        <s v="Headphones"/>
        <s v="Laptop"/>
        <s v="Monitor"/>
        <s v="Mobile"/>
        <s v="Chair"/>
        <s v="Table"/>
        <s v="Printer"/>
      </sharedItems>
    </cacheField>
    <cacheField name="Category" numFmtId="0">
      <sharedItems count="2">
        <s v="Electronics"/>
        <s v="Furniture"/>
      </sharedItems>
    </cacheField>
    <cacheField name="Region" numFmtId="0">
      <sharedItems count="4">
        <s v="East"/>
        <s v="South"/>
        <s v="North"/>
        <s v="West"/>
      </sharedItems>
    </cacheField>
    <cacheField name="Salesperson" numFmtId="0">
      <sharedItems count="6">
        <s v="Meena"/>
        <s v="Karthik"/>
        <s v="Priya"/>
        <s v="Arjun"/>
        <s v="Ravi"/>
        <s v="Sneha"/>
      </sharedItems>
    </cacheField>
    <cacheField name="Units Sold" numFmtId="0">
      <sharedItems containsSemiMixedTypes="0" containsString="0" containsNumber="1" containsInteger="1" minValue="1" maxValue="10"/>
    </cacheField>
    <cacheField name="Revenue" numFmtId="0">
      <sharedItems containsString="0" containsBlank="1" containsNumber="1" containsInteger="1" minValue="-361400" maxValue="492270" count="944">
        <n v="44576"/>
        <n v="373077"/>
        <n v="170086"/>
        <n v="24235"/>
        <n v="192696"/>
        <n v="151698"/>
        <n v="137837"/>
        <n v="31652"/>
        <n v="54486"/>
        <n v="9185"/>
        <n v="46583"/>
        <n v="174030"/>
        <n v="18333"/>
        <n v="52280"/>
        <n v="448524"/>
        <n v="-48312"/>
        <n v="71390"/>
        <n v="16704"/>
        <n v="54966"/>
        <n v="10630"/>
        <m/>
        <n v="85780"/>
        <n v="110853"/>
        <n v="46040"/>
        <n v="138057"/>
        <n v="140612"/>
        <n v="22608"/>
        <n v="208190"/>
        <n v="140924"/>
        <n v="94572"/>
        <n v="186796"/>
        <n v="25368"/>
        <n v="54140"/>
        <n v="45255"/>
        <n v="38236"/>
        <n v="144570"/>
        <n v="46095"/>
        <n v="333844"/>
        <n v="18234"/>
        <n v="135534"/>
        <n v="18046"/>
        <n v="164979"/>
        <n v="269694"/>
        <n v="344592"/>
        <n v="332346"/>
        <n v="389870"/>
        <n v="187360"/>
        <n v="178428"/>
        <n v="99105"/>
        <n v="45420"/>
        <n v="234215"/>
        <n v="238875"/>
        <n v="303174"/>
        <n v="419980"/>
        <n v="192120"/>
        <n v="8098"/>
        <n v="158032"/>
        <n v="160960"/>
        <n v="48400"/>
        <n v="39621"/>
        <n v="54840"/>
        <n v="292145"/>
        <n v="59470"/>
        <n v="24516"/>
        <n v="77348"/>
        <n v="20037"/>
        <n v="336492"/>
        <n v="198820"/>
        <n v="63832"/>
        <n v="31807"/>
        <n v="14293"/>
        <n v="79656"/>
        <n v="77584"/>
        <n v="103311"/>
        <n v="10840"/>
        <n v="338526"/>
        <n v="197976"/>
        <n v="237570"/>
        <n v="20709"/>
        <n v="299648"/>
        <n v="39420"/>
        <n v="228510"/>
        <n v="330680"/>
        <n v="239135"/>
        <n v="167136"/>
        <n v="33488"/>
        <n v="178740"/>
        <n v="50355"/>
        <n v="63608"/>
        <n v="387920"/>
        <n v="4438"/>
        <n v="87567"/>
        <n v="139784"/>
        <n v="90870"/>
        <n v="140184"/>
        <n v="165834"/>
        <n v="27170"/>
        <n v="169244"/>
        <n v="68260"/>
        <n v="367700"/>
        <n v="135792"/>
        <n v="51192"/>
        <n v="57844"/>
        <n v="143478"/>
        <n v="384705"/>
        <n v="14400"/>
        <n v="222110"/>
        <n v="46169"/>
        <n v="41124"/>
        <n v="43972"/>
        <n v="412029"/>
        <n v="339479"/>
        <n v="62559"/>
        <n v="391491"/>
        <n v="124434"/>
        <n v="441390"/>
        <n v="56810"/>
        <n v="352310"/>
        <n v="331700"/>
        <n v="193496"/>
        <n v="54310"/>
        <n v="80380"/>
        <n v="309197"/>
        <n v="19164"/>
        <n v="43140"/>
        <n v="41553"/>
        <n v="206730"/>
        <n v="135130"/>
        <n v="210616"/>
        <n v="104904"/>
        <n v="-144714"/>
        <n v="27693"/>
        <n v="72614"/>
        <n v="25088"/>
        <n v="44395"/>
        <n v="218712"/>
        <n v="138260"/>
        <n v="38200"/>
        <n v="154398"/>
        <n v="-168510"/>
        <n v="240695"/>
        <n v="62024"/>
        <n v="77070"/>
        <n v="94536"/>
        <n v="264576"/>
        <n v="10137"/>
        <n v="174476"/>
        <n v="492270"/>
        <n v="157980"/>
        <n v="54256"/>
        <n v="168780"/>
        <n v="10632"/>
        <n v="103962"/>
        <n v="31128"/>
        <n v="248385"/>
        <n v="245322"/>
        <n v="231348"/>
        <n v="198282"/>
        <n v="211482"/>
        <n v="41119"/>
        <n v="269160"/>
        <n v="87189"/>
        <n v="291496"/>
        <n v="116800"/>
        <n v="198872"/>
        <n v="23780"/>
        <n v="54980"/>
        <n v="68712"/>
        <n v="83296"/>
        <n v="196105"/>
        <n v="37528"/>
        <n v="438590"/>
        <n v="9788"/>
        <n v="24284"/>
        <n v="164730"/>
        <n v="73650"/>
        <n v="106380"/>
        <n v="106908"/>
        <n v="159600"/>
        <n v="96565"/>
        <n v="93486"/>
        <n v="149100"/>
        <n v="128748"/>
        <n v="17772"/>
        <n v="149492"/>
        <n v="460750"/>
        <n v="268996"/>
        <n v="111759"/>
        <n v="74844"/>
        <n v="415130"/>
        <n v="15881"/>
        <n v="152724"/>
        <n v="183888"/>
        <n v="44571"/>
        <n v="257600"/>
        <n v="6871"/>
        <n v="211664"/>
        <n v="36695"/>
        <n v="105822"/>
        <n v="190776"/>
        <n v="45416"/>
        <n v="17057"/>
        <n v="18156"/>
        <n v="324590"/>
        <n v="120491"/>
        <n v="135608"/>
        <n v="14752"/>
        <n v="118074"/>
        <n v="91756"/>
        <n v="90800"/>
        <n v="191496"/>
        <n v="84297"/>
        <n v="77904"/>
        <n v="237025"/>
        <n v="186942"/>
        <n v="368244"/>
        <n v="166117"/>
        <n v="165798"/>
        <n v="74484"/>
        <n v="43356"/>
        <n v="114507"/>
        <n v="-42246"/>
        <n v="74370"/>
        <n v="283283"/>
        <n v="67572"/>
        <n v="101682"/>
        <n v="189336"/>
        <n v="233904"/>
        <n v="312560"/>
        <n v="302440"/>
        <n v="61548"/>
        <n v="111240"/>
        <n v="195200"/>
        <n v="143904"/>
        <n v="186109"/>
        <n v="240834"/>
        <n v="113925"/>
        <n v="5010"/>
        <n v="133794"/>
        <n v="300993"/>
        <n v="122721"/>
        <n v="108416"/>
        <n v="17168"/>
        <n v="372483"/>
        <n v="149576"/>
        <n v="25664"/>
        <n v="64250"/>
        <n v="51807"/>
        <n v="165636"/>
        <n v="30600"/>
        <n v="143919"/>
        <n v="7846"/>
        <n v="313208"/>
        <n v="18026"/>
        <n v="109620"/>
        <n v="143204"/>
        <n v="90906"/>
        <n v="162576"/>
        <n v="347606"/>
        <n v="144248"/>
        <n v="392120"/>
        <n v="158576"/>
        <n v="171846"/>
        <n v="46430"/>
        <n v="28502"/>
        <n v="44952"/>
        <n v="177340"/>
        <n v="303870"/>
        <n v="12810"/>
        <n v="176464"/>
        <n v="196368"/>
        <n v="293568"/>
        <n v="274550"/>
        <n v="235206"/>
        <n v="165720"/>
        <n v="11680"/>
        <n v="48112"/>
        <n v="134910"/>
        <n v="228540"/>
        <n v="137634"/>
        <n v="-189708"/>
        <n v="175126"/>
        <n v="16575"/>
        <n v="422150"/>
        <n v="115288"/>
        <n v="25647"/>
        <n v="36845"/>
        <n v="224904"/>
        <n v="132848"/>
        <n v="106632"/>
        <n v="122991"/>
        <n v="22480"/>
        <n v="86180"/>
        <n v="60147"/>
        <n v="65076"/>
        <n v="286792"/>
        <n v="60616"/>
        <n v="305494"/>
        <n v="224289"/>
        <n v="185652"/>
        <n v="16664"/>
        <n v="81500"/>
        <n v="419140"/>
        <n v="107703"/>
        <n v="170976"/>
        <n v="394488"/>
        <n v="83072"/>
        <n v="147780"/>
        <n v="139196"/>
        <n v="319870"/>
        <n v="159400"/>
        <n v="43070"/>
        <n v="105295"/>
        <n v="85308"/>
        <n v="185220"/>
        <n v="70693"/>
        <n v="177237"/>
        <n v="167644"/>
        <n v="37540"/>
        <n v="278112"/>
        <n v="184116"/>
        <n v="136390"/>
        <n v="58528"/>
        <n v="75208"/>
        <n v="216114"/>
        <n v="379503"/>
        <n v="121374"/>
        <n v="-250392"/>
        <n v="437810"/>
        <n v="383544"/>
        <n v="189465"/>
        <n v="148390"/>
        <n v="100750"/>
        <n v="282422"/>
        <n v="315637"/>
        <n v="158385"/>
        <n v="391104"/>
        <n v="427518"/>
        <n v="36257"/>
        <n v="47258"/>
        <n v="247374"/>
        <n v="229104"/>
        <n v="373887"/>
        <n v="30082"/>
        <n v="246702"/>
        <n v="56200"/>
        <n v="142176"/>
        <n v="187242"/>
        <n v="91968"/>
        <n v="61670"/>
        <n v="391840"/>
        <n v="192010"/>
        <n v="49820"/>
        <n v="317107"/>
        <n v="310317"/>
        <n v="353992"/>
        <n v="213000"/>
        <n v="91357"/>
        <n v="249488"/>
        <n v="77004"/>
        <n v="17608"/>
        <n v="278728"/>
        <n v="117348"/>
        <n v="52584"/>
        <n v="448170"/>
        <n v="332776"/>
        <n v="490090"/>
        <n v="24297"/>
        <n v="56775"/>
        <n v="125752"/>
        <n v="174015"/>
        <n v="315477"/>
        <n v="361704"/>
        <n v="271008"/>
        <n v="56040"/>
        <n v="87498"/>
        <n v="267822"/>
        <n v="345294"/>
        <n v="125072"/>
        <n v="305704"/>
        <n v="83826"/>
        <n v="246144"/>
        <n v="138516"/>
        <n v="143720"/>
        <n v="147480"/>
        <n v="71276"/>
        <n v="373344"/>
        <n v="99693"/>
        <n v="77572"/>
        <n v="37486"/>
        <n v="159168"/>
        <n v="95520"/>
        <n v="173034"/>
        <n v="142275"/>
        <n v="-46232"/>
        <n v="92235"/>
        <n v="114144"/>
        <n v="445890"/>
        <n v="207770"/>
        <n v="73557"/>
        <n v="-361400"/>
        <n v="84060"/>
        <n v="121760"/>
        <n v="45486"/>
        <n v="319200"/>
        <n v="-177408"/>
        <n v="12990"/>
        <n v="50800"/>
        <n v="176553"/>
        <n v="19626"/>
        <n v="23750"/>
        <n v="23148"/>
        <n v="108872"/>
        <n v="326613"/>
        <n v="32478"/>
        <n v="104286"/>
        <n v="81342"/>
        <n v="178304"/>
        <n v="139272"/>
        <n v="96290"/>
        <n v="90282"/>
        <n v="55434"/>
        <n v="39421"/>
        <n v="179900"/>
        <n v="100912"/>
        <n v="384336"/>
        <n v="228300"/>
        <n v="-167859"/>
        <n v="21682"/>
        <n v="32170"/>
        <n v="28236"/>
        <n v="270050"/>
        <n v="27490"/>
        <n v="46147"/>
        <n v="31989"/>
        <n v="32514"/>
        <n v="150920"/>
        <n v="74757"/>
        <n v="18728"/>
        <n v="263032"/>
        <n v="26681"/>
        <n v="6364"/>
        <n v="247289"/>
        <n v="4605"/>
        <n v="87395"/>
        <n v="83915"/>
        <n v="158180"/>
        <n v="421461"/>
        <n v="123570"/>
        <n v="153160"/>
        <n v="11148"/>
        <n v="86296"/>
        <n v="20881"/>
        <n v="191910"/>
        <n v="63192"/>
        <n v="14442"/>
        <n v="101889"/>
        <n v="162386"/>
        <n v="15952"/>
        <n v="242487"/>
        <n v="29497"/>
        <n v="185870"/>
        <n v="216706"/>
        <n v="37719"/>
        <n v="43228"/>
        <n v="117875"/>
        <n v="483210"/>
        <n v="274208"/>
        <n v="31174"/>
        <n v="93365"/>
        <n v="423690"/>
        <n v="129312"/>
        <n v="230304"/>
        <n v="159546"/>
        <n v="291120"/>
        <n v="53048"/>
        <n v="290528"/>
        <n v="341397"/>
        <n v="17365"/>
        <n v="39736"/>
        <n v="118578"/>
        <n v="11700"/>
        <n v="134856"/>
        <n v="66992"/>
        <n v="98112"/>
        <n v="105544"/>
        <n v="289890"/>
        <n v="244260"/>
        <n v="75591"/>
        <n v="354160"/>
        <n v="189927"/>
        <n v="47106"/>
        <n v="229887"/>
        <n v="264068"/>
        <n v="6701"/>
        <n v="298980"/>
        <n v="399208"/>
        <n v="56496"/>
        <n v="64143"/>
        <n v="12945"/>
        <n v="45012"/>
        <n v="127068"/>
        <n v="57363"/>
        <n v="189777"/>
        <n v="97227"/>
        <n v="181782"/>
        <n v="147740"/>
        <n v="79281"/>
        <n v="165124"/>
        <n v="55806"/>
        <n v="20547"/>
        <n v="167984"/>
        <n v="-6778"/>
        <n v="-136227"/>
        <n v="8864"/>
        <n v="43436"/>
        <n v="54296"/>
        <n v="115328"/>
        <n v="105849"/>
        <n v="327936"/>
        <n v="19948"/>
        <n v="160564"/>
        <n v="13758"/>
        <n v="131793"/>
        <n v="86206"/>
        <n v="224226"/>
        <n v="276840"/>
        <n v="10874"/>
        <n v="233620"/>
        <n v="115227"/>
        <n v="393392"/>
        <n v="235264"/>
        <n v="253358"/>
        <n v="182748"/>
        <n v="37827"/>
        <n v="114009"/>
        <n v="88672"/>
        <n v="220764"/>
        <n v="33552"/>
        <n v="433746"/>
        <n v="92004"/>
        <n v="418077"/>
        <n v="14508"/>
        <n v="387981"/>
        <n v="24500"/>
        <n v="456370"/>
        <n v="210976"/>
        <n v="145218"/>
        <n v="28513"/>
        <n v="165290"/>
        <n v="33636"/>
        <n v="71080"/>
        <n v="185031"/>
        <n v="216993"/>
        <n v="87488"/>
        <n v="115275"/>
        <n v="-171905"/>
        <n v="-146690"/>
        <n v="312520"/>
        <n v="58340"/>
        <n v="183540"/>
        <n v="98950"/>
        <n v="232000"/>
        <n v="56048"/>
        <n v="19420"/>
        <n v="14188"/>
        <n v="24180"/>
        <n v="23078"/>
        <n v="64780"/>
        <n v="32050"/>
        <n v="112294"/>
        <n v="192560"/>
        <n v="258219"/>
        <n v="55952"/>
        <n v="177359"/>
        <n v="170345"/>
        <n v="465120"/>
        <n v="226950"/>
        <n v="220486"/>
        <n v="75691"/>
        <n v="110187"/>
        <n v="40696"/>
        <n v="152520"/>
        <n v="78756"/>
        <n v="22743"/>
        <n v="216290"/>
        <n v="197930"/>
        <n v="368030"/>
        <n v="198555"/>
        <n v="156472"/>
        <n v="93456"/>
        <n v="104055"/>
        <n v="270480"/>
        <n v="180726"/>
        <n v="364230"/>
        <n v="45820"/>
        <n v="45482"/>
        <n v="42810"/>
        <n v="74110"/>
        <n v="78935"/>
        <n v="232504"/>
        <n v="290220"/>
        <n v="105784"/>
        <n v="160524"/>
        <n v="83520"/>
        <n v="119944"/>
        <n v="5850"/>
        <n v="171925"/>
        <n v="21018"/>
        <n v="284502"/>
        <n v="131452"/>
        <n v="269650"/>
        <n v="308682"/>
        <n v="163320"/>
        <n v="68037"/>
        <n v="56008"/>
        <n v="74976"/>
        <n v="159190"/>
        <n v="20630"/>
        <n v="254048"/>
        <n v="44181"/>
        <n v="6688"/>
        <n v="234445"/>
        <n v="297260"/>
        <n v="177764"/>
        <n v="173488"/>
        <n v="81477"/>
        <n v="110136"/>
        <n v="121845"/>
        <n v="67522"/>
        <n v="256400"/>
        <n v="47615"/>
        <n v="161855"/>
        <n v="60776"/>
        <n v="410480"/>
        <n v="36623"/>
        <n v="23541"/>
        <n v="246910"/>
        <n v="82044"/>
        <n v="62900"/>
        <n v="181326"/>
        <n v="374418"/>
        <n v="35246"/>
        <n v="24222"/>
        <n v="124752"/>
        <n v="90309"/>
        <n v="59040"/>
        <n v="43393"/>
        <n v="147324"/>
        <n v="267096"/>
        <n v="71064"/>
        <n v="245791"/>
        <n v="197575"/>
        <n v="103235"/>
        <n v="67368"/>
        <n v="255546"/>
        <n v="88704"/>
        <n v="33088"/>
        <n v="108414"/>
        <n v="102890"/>
        <n v="222960"/>
        <n v="94104"/>
        <n v="161424"/>
        <n v="375090"/>
        <n v="77435"/>
        <n v="41913"/>
        <n v="21531"/>
        <n v="404060"/>
        <n v="31152"/>
        <n v="286560"/>
        <n v="184420"/>
        <n v="55812"/>
        <n v="261756"/>
        <n v="-133095"/>
        <n v="65862"/>
        <n v="-164076"/>
        <n v="20424"/>
        <n v="-20399"/>
        <n v="132282"/>
        <n v="-145120"/>
        <n v="308042"/>
        <n v="43632"/>
        <n v="16786"/>
        <n v="242464"/>
        <n v="157635"/>
        <n v="284640"/>
        <n v="21327"/>
        <n v="298522"/>
        <n v="487460"/>
        <n v="44088"/>
        <n v="177832"/>
        <n v="88836"/>
        <n v="239970"/>
        <n v="130296"/>
        <n v="59856"/>
        <n v="46397"/>
        <n v="109596"/>
        <n v="241065"/>
        <n v="109188"/>
        <n v="62510"/>
        <n v="391200"/>
        <n v="114275"/>
        <n v="288008"/>
        <n v="135295"/>
        <n v="33796"/>
        <n v="110350"/>
        <n v="449460"/>
        <n v="364221"/>
        <n v="117876"/>
        <n v="70929"/>
        <n v="100394"/>
        <n v="340210"/>
        <n v="215892"/>
        <n v="54986"/>
        <n v="139720"/>
        <n v="235824"/>
        <n v="134770"/>
        <n v="17708"/>
        <n v="267603"/>
        <n v="6796"/>
        <n v="70311"/>
        <n v="39537"/>
        <n v="60295"/>
        <n v="2954"/>
        <n v="249109"/>
        <n v="35756"/>
        <n v="261810"/>
        <n v="82624"/>
        <n v="51392"/>
        <n v="42393"/>
        <n v="47756"/>
        <n v="36135"/>
        <n v="45581"/>
        <n v="52688"/>
        <n v="64098"/>
        <n v="313770"/>
        <n v="-304050"/>
        <n v="56583"/>
        <n v="43281"/>
        <n v="177376"/>
        <n v="212382"/>
        <n v="89925"/>
        <n v="245700"/>
        <n v="13154"/>
        <n v="44931"/>
        <n v="143950"/>
        <n v="-40380"/>
        <n v="144924"/>
        <n v="280116"/>
        <n v="31944"/>
        <n v="340192"/>
        <n v="29988"/>
        <n v="361152"/>
        <n v="61656"/>
        <n v="52676"/>
        <n v="196524"/>
        <n v="100002"/>
        <n v="275724"/>
        <n v="-62100"/>
        <n v="279108"/>
        <n v="81730"/>
        <n v="424152"/>
        <n v="146919"/>
        <n v="151207"/>
        <n v="46949"/>
        <n v="159920"/>
        <n v="86810"/>
        <n v="110176"/>
        <n v="35568"/>
        <n v="140252"/>
        <n v="395500"/>
        <n v="102070"/>
        <n v="362880"/>
        <n v="281781"/>
        <n v="70340"/>
        <n v="225990"/>
        <n v="17538"/>
        <n v="296570"/>
        <n v="111363"/>
        <n v="68196"/>
        <n v="263724"/>
        <n v="27032"/>
        <n v="103600"/>
        <n v="185788"/>
        <n v="44062"/>
        <n v="191585"/>
        <n v="421479"/>
        <n v="32016"/>
        <n v="168310"/>
        <n v="15480"/>
        <n v="84085"/>
        <n v="165942"/>
        <n v="69873"/>
        <n v="73656"/>
        <n v="102475"/>
        <n v="182672"/>
        <n v="21340"/>
        <n v="198747"/>
        <n v="122316"/>
        <n v="164680"/>
        <n v="94851"/>
        <n v="54012"/>
        <n v="67712"/>
        <n v="437715"/>
        <n v="-67284"/>
        <n v="47469"/>
        <n v="197890"/>
        <n v="170658"/>
        <n v="60609"/>
        <n v="260778"/>
        <n v="43022"/>
        <n v="313943"/>
        <n v="137488"/>
        <n v="341460"/>
        <n v="59888"/>
        <n v="53528"/>
        <n v="129348"/>
        <n v="100455"/>
        <n v="190792"/>
        <n v="33428"/>
        <n v="41007"/>
        <n v="173590"/>
        <n v="82794"/>
        <n v="62148"/>
        <n v="108448"/>
        <n v="34826"/>
        <n v="63939"/>
        <n v="80211"/>
        <n v="77808"/>
        <n v="109698"/>
        <n v="41595"/>
        <n v="198504"/>
        <n v="56690"/>
        <n v="16746"/>
        <n v="63330"/>
        <n v="37865"/>
        <n v="123042"/>
        <n v="77571"/>
        <n v="57288"/>
        <n v="72654"/>
        <n v="431420"/>
        <n v="63612"/>
        <n v="150224"/>
        <n v="466020"/>
        <n v="42672"/>
        <n v="86576"/>
        <n v="292176"/>
        <n v="249642"/>
        <n v="40520"/>
        <n v="137788"/>
        <n v="234941"/>
        <n v="150120"/>
        <n v="56670"/>
        <n v="83860"/>
        <n v="29410"/>
        <n v="150492"/>
        <n v="189042"/>
        <n v="15748"/>
        <n v="147835"/>
        <n v="17486"/>
        <n v="9088"/>
        <n v="118494"/>
        <n v="348019"/>
        <n v="-191175"/>
        <n v="25599"/>
        <n v="148356"/>
        <n v="87770"/>
        <n v="64737"/>
        <n v="413210"/>
        <n v="290424"/>
        <n v="138720"/>
        <n v="114445"/>
        <n v="167256"/>
        <n v="76335"/>
        <n v="96054"/>
        <n v="244705"/>
        <n v="21016"/>
        <n v="33930"/>
        <n v="76934"/>
        <n v="7838"/>
        <n v="223374"/>
        <n v="282498"/>
        <n v="306180"/>
        <n v="38578"/>
        <n v="47592"/>
        <n v="359560"/>
        <n v="25992"/>
        <n v="35530"/>
        <n v="111279"/>
        <n v="72075"/>
        <n v="60473"/>
        <n v="8176"/>
        <n v="198312"/>
        <n v="116676"/>
        <n v="234715"/>
        <n v="476000"/>
        <n v="58161"/>
        <n v="60814"/>
        <n v="108861"/>
        <n v="16242"/>
        <n v="123384"/>
        <n v="223640"/>
        <n v="86920"/>
        <n v="278640"/>
        <n v="33579"/>
        <n v="351585"/>
        <n v="11168"/>
        <n v="461980"/>
        <n v="36400"/>
        <n v="171513"/>
        <n v="52764"/>
        <n v="138180"/>
        <n v="161176"/>
        <n v="75177"/>
        <n v="213400"/>
        <n v="-248120"/>
        <n v="70024"/>
        <n v="61872"/>
        <n v="384680"/>
        <n v="35880"/>
        <n v="140157"/>
        <n v="99315"/>
        <n v="69366"/>
        <n v="62634"/>
        <n v="17441"/>
        <n v="3727"/>
        <n v="333032"/>
        <n v="-183648"/>
        <n v="22908"/>
        <n v="233604"/>
        <n v="130235"/>
        <n v="337645"/>
        <n v="13050"/>
        <n v="202750"/>
        <n v="16709"/>
        <n v="240340"/>
        <n v="9157"/>
        <n v="-228389"/>
        <n v="278600"/>
        <n v="-116010"/>
        <n v="39982"/>
        <n v="82696"/>
        <n v="41359"/>
        <n v="143864"/>
      </sharedItems>
    </cacheField>
    <cacheField name="Cost" numFmtId="0">
      <sharedItems containsString="0" containsBlank="1" containsNumber="1" minValue="1875.3370247180301" maxValue="423746.19197485299"/>
    </cacheField>
    <cacheField name="Data Status" numFmtId="0">
      <sharedItems count="3">
        <s v="Valid"/>
        <s v="Flag"/>
        <s v="Remove"/>
      </sharedItems>
    </cacheField>
    <cacheField name="Duplicate Status" numFmtId="0">
      <sharedItems/>
    </cacheField>
    <cacheField name="Profit" numFmtId="0">
      <sharedItems containsSemiMixedTypes="0" containsString="0" containsNumber="1" minValue="-681676.44330481905" maxValue="431420"/>
    </cacheField>
    <cacheField name="Transaction Type" numFmtId="0">
      <sharedItems/>
    </cacheField>
    <cacheField name="Days (Order Date)" numFmtId="0" databaseField="0">
      <fieldGroup base="0">
        <rangePr groupBy="days" startDate="2026-01-01T00:00:00" endDate="2026-12-06T00:00:00"/>
        <groupItems count="368">
          <s v="&lt;01/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2/26"/>
        </groupItems>
      </fieldGroup>
    </cacheField>
    <cacheField name="Months (Order Date)" numFmtId="0" databaseField="0">
      <fieldGroup base="0">
        <rangePr groupBy="months" startDate="2026-01-01T00:00:00" endDate="2026-12-06T00:00:00"/>
        <groupItems count="14">
          <s v="&lt;01/01/26"/>
          <s v="Jan"/>
          <s v="Feb"/>
          <s v="Mar"/>
          <s v="Apr"/>
          <s v="May"/>
          <s v="Jun"/>
          <s v="Jul"/>
          <s v="Aug"/>
          <s v="Sep"/>
          <s v="Oct"/>
          <s v="Nov"/>
          <s v="Dec"/>
          <s v="&gt;06/12/26"/>
        </groupItems>
      </fieldGroup>
    </cacheField>
  </cacheFields>
  <extLst>
    <ext xmlns:x14="http://schemas.microsoft.com/office/spreadsheetml/2009/9/main" uri="{725AE2AE-9491-48be-B2B4-4EB974FC3084}">
      <x14:pivotCacheDefinition pivotCacheId="846893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x v="0"/>
    <x v="0"/>
    <n v="2026"/>
    <x v="0"/>
    <x v="0"/>
    <x v="0"/>
    <x v="0"/>
    <n v="4"/>
    <x v="0"/>
    <n v="35419.576337029997"/>
    <x v="0"/>
    <s v="Unique"/>
    <n v="9156.4236629700026"/>
    <s v="Sale"/>
  </r>
  <r>
    <x v="1"/>
    <x v="1"/>
    <n v="2026"/>
    <x v="1"/>
    <x v="0"/>
    <x v="1"/>
    <x v="0"/>
    <n v="9"/>
    <x v="1"/>
    <n v="190498.48398469799"/>
    <x v="0"/>
    <s v="Unique"/>
    <n v="182578.51601530201"/>
    <s v="Sale"/>
  </r>
  <r>
    <x v="2"/>
    <x v="2"/>
    <n v="2026"/>
    <x v="2"/>
    <x v="0"/>
    <x v="2"/>
    <x v="0"/>
    <n v="7"/>
    <x v="2"/>
    <n v="103947.810007825"/>
    <x v="0"/>
    <s v="Unique"/>
    <n v="66138.189992175001"/>
    <s v="Sale"/>
  </r>
  <r>
    <x v="3"/>
    <x v="3"/>
    <n v="2026"/>
    <x v="2"/>
    <x v="0"/>
    <x v="0"/>
    <x v="1"/>
    <n v="5"/>
    <x v="3"/>
    <n v="19191.519940209801"/>
    <x v="0"/>
    <s v="Unique"/>
    <n v="5043.4800597901994"/>
    <s v="Sale"/>
  </r>
  <r>
    <x v="4"/>
    <x v="4"/>
    <n v="2026"/>
    <x v="2"/>
    <x v="0"/>
    <x v="0"/>
    <x v="1"/>
    <n v="4"/>
    <x v="4"/>
    <n v="101709.199583095"/>
    <x v="0"/>
    <s v="Unique"/>
    <n v="90986.800416904996"/>
    <s v="Sale"/>
  </r>
  <r>
    <x v="5"/>
    <x v="5"/>
    <n v="2026"/>
    <x v="3"/>
    <x v="0"/>
    <x v="0"/>
    <x v="0"/>
    <n v="6"/>
    <x v="5"/>
    <n v="88561.719021589204"/>
    <x v="0"/>
    <s v="Unique"/>
    <n v="63136.280978410796"/>
    <s v="Sale"/>
  </r>
  <r>
    <x v="6"/>
    <x v="0"/>
    <n v="2026"/>
    <x v="4"/>
    <x v="1"/>
    <x v="1"/>
    <x v="2"/>
    <n v="7"/>
    <x v="6"/>
    <n v="123475.67203267801"/>
    <x v="0"/>
    <s v="Unique"/>
    <n v="14361.327967321995"/>
    <s v="Sale"/>
  </r>
  <r>
    <x v="7"/>
    <x v="6"/>
    <n v="2026"/>
    <x v="5"/>
    <x v="1"/>
    <x v="3"/>
    <x v="3"/>
    <n v="2"/>
    <x v="7"/>
    <n v="27387.033841088301"/>
    <x v="0"/>
    <s v="Unique"/>
    <n v="4264.9661589116986"/>
    <s v="Sale"/>
  </r>
  <r>
    <x v="8"/>
    <x v="4"/>
    <n v="2026"/>
    <x v="3"/>
    <x v="0"/>
    <x v="1"/>
    <x v="3"/>
    <n v="3"/>
    <x v="8"/>
    <n v="43479.587871297299"/>
    <x v="0"/>
    <s v="Unique"/>
    <n v="11006.412128702701"/>
    <s v="Sale"/>
  </r>
  <r>
    <x v="9"/>
    <x v="4"/>
    <n v="2026"/>
    <x v="4"/>
    <x v="1"/>
    <x v="3"/>
    <x v="4"/>
    <n v="1"/>
    <x v="9"/>
    <n v="5154.0390072855098"/>
    <x v="0"/>
    <s v="Unique"/>
    <n v="4030.9609927144902"/>
    <s v="Sale"/>
  </r>
  <r>
    <x v="10"/>
    <x v="1"/>
    <n v="2026"/>
    <x v="6"/>
    <x v="0"/>
    <x v="0"/>
    <x v="1"/>
    <n v="1"/>
    <x v="10"/>
    <n v="36720.853804502302"/>
    <x v="0"/>
    <s v="Unique"/>
    <n v="9862.1461954976985"/>
    <s v="Sale"/>
  </r>
  <r>
    <x v="11"/>
    <x v="0"/>
    <n v="2026"/>
    <x v="4"/>
    <x v="1"/>
    <x v="3"/>
    <x v="4"/>
    <n v="5"/>
    <x v="11"/>
    <n v="140056.71260041199"/>
    <x v="0"/>
    <s v="Unique"/>
    <n v="33973.287399588007"/>
    <s v="Sale"/>
  </r>
  <r>
    <x v="0"/>
    <x v="0"/>
    <n v="2026"/>
    <x v="5"/>
    <x v="1"/>
    <x v="1"/>
    <x v="1"/>
    <n v="9"/>
    <x v="12"/>
    <n v="13558.6804267637"/>
    <x v="0"/>
    <s v="Unique"/>
    <n v="4774.3195732363001"/>
    <s v="Sale"/>
  </r>
  <r>
    <x v="12"/>
    <x v="5"/>
    <n v="2026"/>
    <x v="6"/>
    <x v="0"/>
    <x v="2"/>
    <x v="4"/>
    <n v="8"/>
    <x v="13"/>
    <n v="46591.611731780402"/>
    <x v="0"/>
    <s v="Unique"/>
    <n v="5688.3882682195981"/>
    <s v="Sale"/>
  </r>
  <r>
    <x v="13"/>
    <x v="4"/>
    <n v="2026"/>
    <x v="6"/>
    <x v="0"/>
    <x v="3"/>
    <x v="0"/>
    <n v="9"/>
    <x v="14"/>
    <n v="348030.87592794001"/>
    <x v="0"/>
    <s v="Unique"/>
    <n v="100493.12407205999"/>
    <s v="Sale"/>
  </r>
  <r>
    <x v="14"/>
    <x v="1"/>
    <n v="2026"/>
    <x v="1"/>
    <x v="0"/>
    <x v="1"/>
    <x v="0"/>
    <n v="2"/>
    <x v="15"/>
    <n v="24562.482867784402"/>
    <x v="0"/>
    <s v="Unique"/>
    <n v="-72874.482867784405"/>
    <s v="Return"/>
  </r>
  <r>
    <x v="15"/>
    <x v="7"/>
    <n v="2026"/>
    <x v="1"/>
    <x v="0"/>
    <x v="2"/>
    <x v="3"/>
    <n v="2"/>
    <x v="16"/>
    <n v="42491.460339040997"/>
    <x v="0"/>
    <s v="Unique"/>
    <n v="28898.539660959003"/>
    <s v="Sale"/>
  </r>
  <r>
    <x v="16"/>
    <x v="4"/>
    <n v="2026"/>
    <x v="3"/>
    <x v="0"/>
    <x v="3"/>
    <x v="0"/>
    <n v="2"/>
    <x v="17"/>
    <n v="12755.0591391571"/>
    <x v="0"/>
    <s v="Unique"/>
    <n v="3948.9408608429003"/>
    <s v="Sale"/>
  </r>
  <r>
    <x v="17"/>
    <x v="6"/>
    <n v="2026"/>
    <x v="1"/>
    <x v="0"/>
    <x v="2"/>
    <x v="2"/>
    <n v="6"/>
    <x v="18"/>
    <n v="32950.057620104897"/>
    <x v="0"/>
    <s v="Unique"/>
    <n v="22015.942379895103"/>
    <s v="Sale"/>
  </r>
  <r>
    <x v="18"/>
    <x v="5"/>
    <n v="2026"/>
    <x v="1"/>
    <x v="0"/>
    <x v="3"/>
    <x v="1"/>
    <n v="2"/>
    <x v="19"/>
    <m/>
    <x v="1"/>
    <s v="Unique"/>
    <n v="10630"/>
    <s v="Sale"/>
  </r>
  <r>
    <x v="19"/>
    <x v="2"/>
    <n v="2026"/>
    <x v="3"/>
    <x v="0"/>
    <x v="3"/>
    <x v="0"/>
    <n v="7"/>
    <x v="20"/>
    <n v="23140.0681770376"/>
    <x v="1"/>
    <s v="Unique"/>
    <n v="-23140.0681770376"/>
    <s v="Sale"/>
  </r>
  <r>
    <x v="20"/>
    <x v="1"/>
    <n v="2026"/>
    <x v="0"/>
    <x v="0"/>
    <x v="3"/>
    <x v="0"/>
    <n v="4"/>
    <x v="21"/>
    <n v="50359.753226387103"/>
    <x v="0"/>
    <s v="Unique"/>
    <n v="35420.246773612897"/>
    <s v="Sale"/>
  </r>
  <r>
    <x v="21"/>
    <x v="5"/>
    <n v="2026"/>
    <x v="6"/>
    <x v="0"/>
    <x v="3"/>
    <x v="1"/>
    <n v="9"/>
    <x v="22"/>
    <n v="57948.608820665497"/>
    <x v="0"/>
    <s v="Unique"/>
    <n v="52904.391179334503"/>
    <s v="Sale"/>
  </r>
  <r>
    <x v="22"/>
    <x v="6"/>
    <n v="2026"/>
    <x v="1"/>
    <x v="0"/>
    <x v="1"/>
    <x v="1"/>
    <n v="10"/>
    <x v="23"/>
    <n v="34426.529894275998"/>
    <x v="0"/>
    <s v="Unique"/>
    <n v="11613.470105724002"/>
    <s v="Sale"/>
  </r>
  <r>
    <x v="23"/>
    <x v="5"/>
    <n v="2026"/>
    <x v="4"/>
    <x v="1"/>
    <x v="0"/>
    <x v="2"/>
    <n v="3"/>
    <x v="24"/>
    <n v="104674.860961823"/>
    <x v="0"/>
    <s v="Unique"/>
    <n v="33382.139038177003"/>
    <s v="Sale"/>
  </r>
  <r>
    <x v="24"/>
    <x v="6"/>
    <n v="2026"/>
    <x v="1"/>
    <x v="0"/>
    <x v="2"/>
    <x v="1"/>
    <n v="4"/>
    <x v="25"/>
    <n v="85222.144287553296"/>
    <x v="0"/>
    <s v="Unique"/>
    <n v="55389.855712446704"/>
    <s v="Sale"/>
  </r>
  <r>
    <x v="25"/>
    <x v="1"/>
    <n v="2026"/>
    <x v="6"/>
    <x v="0"/>
    <x v="0"/>
    <x v="1"/>
    <n v="9"/>
    <x v="26"/>
    <n v="17343.620523813599"/>
    <x v="0"/>
    <s v="Unique"/>
    <n v="5264.379476186401"/>
    <s v="Sale"/>
  </r>
  <r>
    <x v="26"/>
    <x v="2"/>
    <n v="2026"/>
    <x v="0"/>
    <x v="0"/>
    <x v="1"/>
    <x v="3"/>
    <n v="5"/>
    <x v="27"/>
    <n v="121635.395133702"/>
    <x v="0"/>
    <s v="Unique"/>
    <n v="86554.604866298003"/>
    <s v="Sale"/>
  </r>
  <r>
    <x v="27"/>
    <x v="4"/>
    <n v="2026"/>
    <x v="2"/>
    <x v="0"/>
    <x v="2"/>
    <x v="4"/>
    <n v="7"/>
    <x v="28"/>
    <n v="72947.153127907703"/>
    <x v="0"/>
    <s v="Unique"/>
    <n v="67976.846872092297"/>
    <s v="Sale"/>
  </r>
  <r>
    <x v="28"/>
    <x v="2"/>
    <n v="2026"/>
    <x v="3"/>
    <x v="0"/>
    <x v="2"/>
    <x v="4"/>
    <n v="2"/>
    <x v="29"/>
    <n v="81480.533147824797"/>
    <x v="0"/>
    <s v="Unique"/>
    <n v="13091.466852175203"/>
    <s v="Sale"/>
  </r>
  <r>
    <x v="29"/>
    <x v="2"/>
    <n v="2026"/>
    <x v="5"/>
    <x v="1"/>
    <x v="2"/>
    <x v="3"/>
    <n v="4"/>
    <x v="30"/>
    <n v="112042.462867154"/>
    <x v="0"/>
    <s v="Unique"/>
    <n v="74753.537132846002"/>
    <s v="Sale"/>
  </r>
  <r>
    <x v="30"/>
    <x v="1"/>
    <n v="2026"/>
    <x v="4"/>
    <x v="1"/>
    <x v="1"/>
    <x v="0"/>
    <n v="7"/>
    <x v="31"/>
    <n v="14504.008523837199"/>
    <x v="0"/>
    <s v="Unique"/>
    <n v="10863.991476162801"/>
    <s v="Sale"/>
  </r>
  <r>
    <x v="31"/>
    <x v="0"/>
    <n v="2026"/>
    <x v="5"/>
    <x v="1"/>
    <x v="1"/>
    <x v="5"/>
    <n v="2"/>
    <x v="32"/>
    <n v="45957.6438506142"/>
    <x v="0"/>
    <s v="Unique"/>
    <n v="8182.3561493857997"/>
    <s v="Sale"/>
  </r>
  <r>
    <x v="32"/>
    <x v="1"/>
    <n v="2026"/>
    <x v="2"/>
    <x v="0"/>
    <x v="1"/>
    <x v="0"/>
    <n v="1"/>
    <x v="33"/>
    <n v="26123.5354283081"/>
    <x v="0"/>
    <s v="Unique"/>
    <n v="19131.4645716919"/>
    <s v="Sale"/>
  </r>
  <r>
    <x v="18"/>
    <x v="5"/>
    <n v="2026"/>
    <x v="0"/>
    <x v="0"/>
    <x v="0"/>
    <x v="4"/>
    <n v="2"/>
    <x v="34"/>
    <n v="21849.087607668102"/>
    <x v="0"/>
    <s v="Unique"/>
    <n v="16386.912392331898"/>
    <s v="Sale"/>
  </r>
  <r>
    <x v="33"/>
    <x v="1"/>
    <n v="2026"/>
    <x v="3"/>
    <x v="0"/>
    <x v="2"/>
    <x v="2"/>
    <n v="10"/>
    <x v="35"/>
    <m/>
    <x v="1"/>
    <s v="Unique"/>
    <n v="144570"/>
    <s v="Sale"/>
  </r>
  <r>
    <x v="34"/>
    <x v="4"/>
    <n v="2026"/>
    <x v="0"/>
    <x v="0"/>
    <x v="1"/>
    <x v="3"/>
    <n v="7"/>
    <x v="36"/>
    <n v="40542.847772339097"/>
    <x v="0"/>
    <s v="Unique"/>
    <n v="5552.152227660903"/>
    <s v="Sale"/>
  </r>
  <r>
    <x v="35"/>
    <x v="2"/>
    <n v="2026"/>
    <x v="5"/>
    <x v="1"/>
    <x v="3"/>
    <x v="3"/>
    <n v="7"/>
    <x v="37"/>
    <n v="206403.08617282801"/>
    <x v="0"/>
    <s v="Unique"/>
    <n v="127440.91382717199"/>
    <s v="Sale"/>
  </r>
  <r>
    <x v="36"/>
    <x v="0"/>
    <n v="2026"/>
    <x v="6"/>
    <x v="0"/>
    <x v="0"/>
    <x v="2"/>
    <n v="9"/>
    <x v="38"/>
    <n v="11333.342329983599"/>
    <x v="0"/>
    <s v="Unique"/>
    <n v="6900.6576700164005"/>
    <s v="Sale"/>
  </r>
  <r>
    <x v="37"/>
    <x v="5"/>
    <n v="2026"/>
    <x v="4"/>
    <x v="1"/>
    <x v="3"/>
    <x v="5"/>
    <n v="3"/>
    <x v="39"/>
    <n v="72364.071309801002"/>
    <x v="0"/>
    <s v="Unique"/>
    <n v="63169.928690198998"/>
    <s v="Sale"/>
  </r>
  <r>
    <x v="38"/>
    <x v="5"/>
    <n v="2026"/>
    <x v="4"/>
    <x v="1"/>
    <x v="1"/>
    <x v="4"/>
    <n v="1"/>
    <x v="40"/>
    <n v="16125.4437868485"/>
    <x v="0"/>
    <s v="Unique"/>
    <n v="1920.5562131514998"/>
    <s v="Sale"/>
  </r>
  <r>
    <x v="39"/>
    <x v="0"/>
    <n v="2026"/>
    <x v="3"/>
    <x v="0"/>
    <x v="3"/>
    <x v="2"/>
    <n v="4"/>
    <x v="20"/>
    <n v="35592.964876297003"/>
    <x v="1"/>
    <s v="Unique"/>
    <n v="-35592.964876297003"/>
    <s v="Sale"/>
  </r>
  <r>
    <x v="40"/>
    <x v="6"/>
    <n v="2026"/>
    <x v="2"/>
    <x v="0"/>
    <x v="3"/>
    <x v="4"/>
    <n v="9"/>
    <x v="41"/>
    <n v="143034.814205937"/>
    <x v="0"/>
    <s v="Unique"/>
    <n v="21944.185794063"/>
    <s v="Sale"/>
  </r>
  <r>
    <x v="41"/>
    <x v="4"/>
    <n v="2026"/>
    <x v="2"/>
    <x v="0"/>
    <x v="3"/>
    <x v="1"/>
    <n v="9"/>
    <x v="42"/>
    <n v="224446.80866353799"/>
    <x v="0"/>
    <s v="Unique"/>
    <n v="45247.191336462012"/>
    <s v="Sale"/>
  </r>
  <r>
    <x v="42"/>
    <x v="4"/>
    <n v="2026"/>
    <x v="2"/>
    <x v="0"/>
    <x v="0"/>
    <x v="1"/>
    <n v="8"/>
    <x v="43"/>
    <n v="205272.88428144401"/>
    <x v="0"/>
    <s v="Unique"/>
    <n v="139319.11571855599"/>
    <s v="Sale"/>
  </r>
  <r>
    <x v="43"/>
    <x v="5"/>
    <n v="2026"/>
    <x v="4"/>
    <x v="1"/>
    <x v="1"/>
    <x v="0"/>
    <n v="7"/>
    <x v="44"/>
    <n v="186486.68765033901"/>
    <x v="0"/>
    <s v="Unique"/>
    <n v="145859.31234966099"/>
    <s v="Sale"/>
  </r>
  <r>
    <x v="44"/>
    <x v="1"/>
    <n v="2026"/>
    <x v="3"/>
    <x v="0"/>
    <x v="3"/>
    <x v="1"/>
    <n v="1"/>
    <x v="20"/>
    <n v="25908.711006895999"/>
    <x v="1"/>
    <s v="Unique"/>
    <n v="-25908.711006895999"/>
    <s v="Sale"/>
  </r>
  <r>
    <x v="45"/>
    <x v="1"/>
    <n v="2026"/>
    <x v="2"/>
    <x v="0"/>
    <x v="1"/>
    <x v="2"/>
    <n v="4"/>
    <x v="20"/>
    <n v="53641.9520890231"/>
    <x v="1"/>
    <s v="Unique"/>
    <n v="-53641.9520890231"/>
    <s v="Sale"/>
  </r>
  <r>
    <x v="46"/>
    <x v="1"/>
    <n v="2026"/>
    <x v="4"/>
    <x v="1"/>
    <x v="2"/>
    <x v="2"/>
    <n v="10"/>
    <x v="45"/>
    <n v="298328.48607908498"/>
    <x v="0"/>
    <s v="Unique"/>
    <n v="91541.513920915022"/>
    <s v="Sale"/>
  </r>
  <r>
    <x v="47"/>
    <x v="2"/>
    <n v="2026"/>
    <x v="3"/>
    <x v="0"/>
    <x v="0"/>
    <x v="0"/>
    <n v="8"/>
    <x v="46"/>
    <n v="118973.641074848"/>
    <x v="0"/>
    <s v="Unique"/>
    <n v="68386.358925152002"/>
    <s v="Sale"/>
  </r>
  <r>
    <x v="45"/>
    <x v="1"/>
    <n v="2026"/>
    <x v="1"/>
    <x v="0"/>
    <x v="2"/>
    <x v="3"/>
    <n v="4"/>
    <x v="47"/>
    <m/>
    <x v="1"/>
    <s v="Unique"/>
    <n v="178428"/>
    <s v="Sale"/>
  </r>
  <r>
    <x v="48"/>
    <x v="4"/>
    <n v="2026"/>
    <x v="1"/>
    <x v="0"/>
    <x v="1"/>
    <x v="0"/>
    <n v="3"/>
    <x v="48"/>
    <n v="76091.187518422405"/>
    <x v="0"/>
    <s v="Unique"/>
    <n v="23013.812481577595"/>
    <s v="Sale"/>
  </r>
  <r>
    <x v="49"/>
    <x v="4"/>
    <n v="2026"/>
    <x v="6"/>
    <x v="0"/>
    <x v="2"/>
    <x v="0"/>
    <n v="5"/>
    <x v="49"/>
    <n v="33223.544220227901"/>
    <x v="0"/>
    <s v="Unique"/>
    <n v="12196.455779772099"/>
    <s v="Sale"/>
  </r>
  <r>
    <x v="50"/>
    <x v="1"/>
    <n v="2026"/>
    <x v="1"/>
    <x v="0"/>
    <x v="1"/>
    <x v="4"/>
    <n v="5"/>
    <x v="50"/>
    <n v="173357.66254573001"/>
    <x v="0"/>
    <s v="Unique"/>
    <n v="60857.337454269989"/>
    <s v="Sale"/>
  </r>
  <r>
    <x v="51"/>
    <x v="5"/>
    <n v="2026"/>
    <x v="1"/>
    <x v="0"/>
    <x v="0"/>
    <x v="4"/>
    <n v="7"/>
    <x v="51"/>
    <n v="129521.739090034"/>
    <x v="0"/>
    <s v="Unique"/>
    <n v="109353.260909966"/>
    <s v="Sale"/>
  </r>
  <r>
    <x v="52"/>
    <x v="2"/>
    <n v="2026"/>
    <x v="0"/>
    <x v="0"/>
    <x v="0"/>
    <x v="1"/>
    <n v="9"/>
    <x v="52"/>
    <n v="207962.05633660799"/>
    <x v="0"/>
    <s v="Unique"/>
    <n v="95211.943663392012"/>
    <s v="Sale"/>
  </r>
  <r>
    <x v="53"/>
    <x v="5"/>
    <n v="2026"/>
    <x v="3"/>
    <x v="0"/>
    <x v="1"/>
    <x v="2"/>
    <n v="10"/>
    <x v="53"/>
    <n v="322240.31752707902"/>
    <x v="0"/>
    <s v="Unique"/>
    <n v="97739.682472920977"/>
    <s v="Sale"/>
  </r>
  <r>
    <x v="54"/>
    <x v="4"/>
    <n v="2026"/>
    <x v="5"/>
    <x v="1"/>
    <x v="0"/>
    <x v="1"/>
    <n v="5"/>
    <x v="54"/>
    <n v="96840.092842383398"/>
    <x v="0"/>
    <s v="Unique"/>
    <n v="95279.907157616602"/>
    <s v="Sale"/>
  </r>
  <r>
    <x v="55"/>
    <x v="4"/>
    <n v="2026"/>
    <x v="3"/>
    <x v="0"/>
    <x v="3"/>
    <x v="2"/>
    <n v="1"/>
    <x v="55"/>
    <n v="5002.0878950133501"/>
    <x v="0"/>
    <s v="Unique"/>
    <n v="3095.9121049866499"/>
    <s v="Sale"/>
  </r>
  <r>
    <x v="25"/>
    <x v="1"/>
    <n v="2026"/>
    <x v="3"/>
    <x v="0"/>
    <x v="0"/>
    <x v="3"/>
    <n v="8"/>
    <x v="56"/>
    <n v="98398.497827535306"/>
    <x v="0"/>
    <s v="Duplicate"/>
    <n v="59633.502172464694"/>
    <s v="Sale"/>
  </r>
  <r>
    <x v="34"/>
    <x v="4"/>
    <n v="2026"/>
    <x v="4"/>
    <x v="1"/>
    <x v="1"/>
    <x v="5"/>
    <n v="8"/>
    <x v="57"/>
    <n v="127131.680710375"/>
    <x v="0"/>
    <s v="Unique"/>
    <n v="33828.319289624997"/>
    <s v="Sale"/>
  </r>
  <r>
    <x v="56"/>
    <x v="6"/>
    <n v="2026"/>
    <x v="5"/>
    <x v="1"/>
    <x v="1"/>
    <x v="3"/>
    <n v="1"/>
    <x v="58"/>
    <n v="34540.8553282219"/>
    <x v="0"/>
    <s v="Unique"/>
    <n v="13859.1446717781"/>
    <s v="Sale"/>
  </r>
  <r>
    <x v="57"/>
    <x v="0"/>
    <n v="2026"/>
    <x v="2"/>
    <x v="0"/>
    <x v="3"/>
    <x v="4"/>
    <n v="1"/>
    <x v="59"/>
    <n v="24316.8233922004"/>
    <x v="0"/>
    <s v="Unique"/>
    <n v="15304.1766077996"/>
    <s v="Sale"/>
  </r>
  <r>
    <x v="58"/>
    <x v="5"/>
    <n v="2026"/>
    <x v="2"/>
    <x v="0"/>
    <x v="2"/>
    <x v="2"/>
    <n v="8"/>
    <x v="60"/>
    <n v="40077.536088343797"/>
    <x v="0"/>
    <s v="Unique"/>
    <n v="14762.463911656203"/>
    <s v="Sale"/>
  </r>
  <r>
    <x v="59"/>
    <x v="5"/>
    <n v="2026"/>
    <x v="4"/>
    <x v="1"/>
    <x v="2"/>
    <x v="1"/>
    <n v="7"/>
    <x v="61"/>
    <n v="215734.690900924"/>
    <x v="0"/>
    <s v="Unique"/>
    <n v="76410.309099075996"/>
    <s v="Sale"/>
  </r>
  <r>
    <x v="60"/>
    <x v="1"/>
    <n v="2026"/>
    <x v="3"/>
    <x v="0"/>
    <x v="0"/>
    <x v="1"/>
    <n v="10"/>
    <x v="62"/>
    <n v="44236.900140487101"/>
    <x v="0"/>
    <s v="Unique"/>
    <n v="15233.099859512899"/>
    <s v="Sale"/>
  </r>
  <r>
    <x v="61"/>
    <x v="2"/>
    <n v="2026"/>
    <x v="4"/>
    <x v="1"/>
    <x v="1"/>
    <x v="1"/>
    <n v="2"/>
    <x v="63"/>
    <n v="12284.239206132899"/>
    <x v="0"/>
    <s v="Unique"/>
    <n v="12231.760793867101"/>
    <s v="Sale"/>
  </r>
  <r>
    <x v="5"/>
    <x v="5"/>
    <n v="2026"/>
    <x v="2"/>
    <x v="0"/>
    <x v="3"/>
    <x v="4"/>
    <n v="4"/>
    <x v="64"/>
    <n v="63048.768882028497"/>
    <x v="0"/>
    <s v="Unique"/>
    <n v="14299.231117971503"/>
    <s v="Sale"/>
  </r>
  <r>
    <x v="1"/>
    <x v="1"/>
    <n v="2026"/>
    <x v="4"/>
    <x v="1"/>
    <x v="1"/>
    <x v="3"/>
    <n v="3"/>
    <x v="65"/>
    <n v="10496.4869590955"/>
    <x v="0"/>
    <s v="Unique"/>
    <n v="9540.5130409044996"/>
    <s v="Sale"/>
  </r>
  <r>
    <x v="62"/>
    <x v="5"/>
    <n v="2026"/>
    <x v="5"/>
    <x v="1"/>
    <x v="3"/>
    <x v="3"/>
    <n v="9"/>
    <x v="66"/>
    <m/>
    <x v="1"/>
    <s v="Unique"/>
    <n v="336492"/>
    <s v="Sale"/>
  </r>
  <r>
    <x v="37"/>
    <x v="5"/>
    <n v="2026"/>
    <x v="4"/>
    <x v="1"/>
    <x v="2"/>
    <x v="5"/>
    <n v="5"/>
    <x v="67"/>
    <n v="102609.544501845"/>
    <x v="0"/>
    <s v="Unique"/>
    <n v="96210.455498155003"/>
    <s v="Sale"/>
  </r>
  <r>
    <x v="18"/>
    <x v="5"/>
    <n v="2026"/>
    <x v="6"/>
    <x v="0"/>
    <x v="3"/>
    <x v="5"/>
    <n v="8"/>
    <x v="68"/>
    <n v="43916.681412443599"/>
    <x v="0"/>
    <s v="Unique"/>
    <n v="19915.318587556401"/>
    <s v="Sale"/>
  </r>
  <r>
    <x v="28"/>
    <x v="2"/>
    <n v="2026"/>
    <x v="5"/>
    <x v="1"/>
    <x v="3"/>
    <x v="1"/>
    <n v="1"/>
    <x v="69"/>
    <n v="17023.867131527801"/>
    <x v="0"/>
    <s v="Unique"/>
    <n v="14783.132868472199"/>
    <s v="Sale"/>
  </r>
  <r>
    <x v="63"/>
    <x v="4"/>
    <n v="2026"/>
    <x v="2"/>
    <x v="0"/>
    <x v="3"/>
    <x v="2"/>
    <n v="1"/>
    <x v="70"/>
    <n v="10110.5216945764"/>
    <x v="0"/>
    <s v="Unique"/>
    <n v="4182.4783054235995"/>
    <s v="Sale"/>
  </r>
  <r>
    <x v="17"/>
    <x v="6"/>
    <n v="2026"/>
    <x v="5"/>
    <x v="1"/>
    <x v="3"/>
    <x v="5"/>
    <n v="8"/>
    <x v="71"/>
    <n v="40747.8497228532"/>
    <x v="0"/>
    <s v="Unique"/>
    <n v="38908.1502771468"/>
    <s v="Sale"/>
  </r>
  <r>
    <x v="64"/>
    <x v="5"/>
    <n v="2026"/>
    <x v="1"/>
    <x v="0"/>
    <x v="1"/>
    <x v="4"/>
    <n v="8"/>
    <x v="72"/>
    <n v="58892.763397839597"/>
    <x v="0"/>
    <s v="Unique"/>
    <n v="18691.236602160403"/>
    <s v="Sale"/>
  </r>
  <r>
    <x v="65"/>
    <x v="0"/>
    <n v="2026"/>
    <x v="3"/>
    <x v="0"/>
    <x v="1"/>
    <x v="2"/>
    <n v="9"/>
    <x v="73"/>
    <n v="67506.961845830505"/>
    <x v="0"/>
    <s v="Duplicate"/>
    <n v="35804.038154169495"/>
    <s v="Sale"/>
  </r>
  <r>
    <x v="22"/>
    <x v="6"/>
    <n v="2026"/>
    <x v="3"/>
    <x v="0"/>
    <x v="0"/>
    <x v="1"/>
    <n v="5"/>
    <x v="74"/>
    <n v="6646.3898315143297"/>
    <x v="0"/>
    <s v="Unique"/>
    <n v="4193.6101684856703"/>
    <s v="Sale"/>
  </r>
  <r>
    <x v="55"/>
    <x v="4"/>
    <n v="2026"/>
    <x v="3"/>
    <x v="0"/>
    <x v="0"/>
    <x v="3"/>
    <n v="9"/>
    <x v="75"/>
    <n v="220341.16432512301"/>
    <x v="0"/>
    <s v="Unique"/>
    <n v="118184.83567487699"/>
    <s v="Sale"/>
  </r>
  <r>
    <x v="66"/>
    <x v="5"/>
    <n v="2026"/>
    <x v="2"/>
    <x v="0"/>
    <x v="3"/>
    <x v="4"/>
    <n v="6"/>
    <x v="76"/>
    <n v="154835.277989522"/>
    <x v="0"/>
    <s v="Unique"/>
    <n v="43140.722010477999"/>
    <s v="Sale"/>
  </r>
  <r>
    <x v="67"/>
    <x v="0"/>
    <n v="2026"/>
    <x v="1"/>
    <x v="0"/>
    <x v="1"/>
    <x v="1"/>
    <n v="10"/>
    <x v="77"/>
    <n v="201430.88137818401"/>
    <x v="0"/>
    <s v="Unique"/>
    <n v="36139.118621815986"/>
    <s v="Sale"/>
  </r>
  <r>
    <x v="20"/>
    <x v="1"/>
    <n v="2026"/>
    <x v="4"/>
    <x v="1"/>
    <x v="3"/>
    <x v="5"/>
    <n v="3"/>
    <x v="78"/>
    <n v="14243.5723423171"/>
    <x v="0"/>
    <s v="Unique"/>
    <n v="6465.4276576828997"/>
    <s v="Sale"/>
  </r>
  <r>
    <x v="67"/>
    <x v="0"/>
    <n v="2026"/>
    <x v="5"/>
    <x v="1"/>
    <x v="3"/>
    <x v="3"/>
    <n v="8"/>
    <x v="79"/>
    <n v="154126.837387265"/>
    <x v="0"/>
    <s v="Unique"/>
    <n v="145521.162612735"/>
    <s v="Sale"/>
  </r>
  <r>
    <x v="68"/>
    <x v="2"/>
    <n v="2026"/>
    <x v="1"/>
    <x v="0"/>
    <x v="2"/>
    <x v="2"/>
    <n v="3"/>
    <x v="20"/>
    <n v="88286.0981065784"/>
    <x v="1"/>
    <s v="Unique"/>
    <n v="-88286.0981065784"/>
    <s v="Sale"/>
  </r>
  <r>
    <x v="69"/>
    <x v="1"/>
    <n v="2026"/>
    <x v="6"/>
    <x v="0"/>
    <x v="3"/>
    <x v="1"/>
    <n v="3"/>
    <x v="80"/>
    <n v="22470.493590631799"/>
    <x v="0"/>
    <s v="Unique"/>
    <n v="16949.506409368201"/>
    <s v="Sale"/>
  </r>
  <r>
    <x v="8"/>
    <x v="4"/>
    <n v="2026"/>
    <x v="3"/>
    <x v="0"/>
    <x v="0"/>
    <x v="2"/>
    <n v="5"/>
    <x v="81"/>
    <n v="115113.962824701"/>
    <x v="0"/>
    <s v="Unique"/>
    <n v="113396.037175299"/>
    <s v="Sale"/>
  </r>
  <r>
    <x v="70"/>
    <x v="8"/>
    <n v="2026"/>
    <x v="5"/>
    <x v="1"/>
    <x v="0"/>
    <x v="5"/>
    <n v="7"/>
    <x v="82"/>
    <n v="198420.99233885499"/>
    <x v="0"/>
    <s v="Unique"/>
    <n v="132259.00766114501"/>
    <s v="Sale"/>
  </r>
  <r>
    <x v="25"/>
    <x v="1"/>
    <n v="2026"/>
    <x v="3"/>
    <x v="0"/>
    <x v="0"/>
    <x v="1"/>
    <n v="5"/>
    <x v="83"/>
    <n v="147807.50253195001"/>
    <x v="0"/>
    <s v="Unique"/>
    <n v="91327.497468049987"/>
    <s v="Sale"/>
  </r>
  <r>
    <x v="71"/>
    <x v="4"/>
    <n v="2026"/>
    <x v="1"/>
    <x v="0"/>
    <x v="3"/>
    <x v="3"/>
    <n v="4"/>
    <x v="84"/>
    <n v="137180.67986251501"/>
    <x v="0"/>
    <s v="Unique"/>
    <n v="29955.320137484989"/>
    <s v="Sale"/>
  </r>
  <r>
    <x v="72"/>
    <x v="0"/>
    <n v="2026"/>
    <x v="1"/>
    <x v="0"/>
    <x v="2"/>
    <x v="3"/>
    <n v="8"/>
    <x v="85"/>
    <n v="24507.507037670799"/>
    <x v="0"/>
    <s v="Unique"/>
    <n v="8980.492962329201"/>
    <s v="Sale"/>
  </r>
  <r>
    <x v="73"/>
    <x v="1"/>
    <n v="2026"/>
    <x v="4"/>
    <x v="1"/>
    <x v="0"/>
    <x v="1"/>
    <n v="9"/>
    <x v="86"/>
    <n v="148745.47040858999"/>
    <x v="0"/>
    <s v="Unique"/>
    <n v="29994.529591410013"/>
    <s v="Sale"/>
  </r>
  <r>
    <x v="74"/>
    <x v="5"/>
    <n v="2026"/>
    <x v="1"/>
    <x v="0"/>
    <x v="3"/>
    <x v="4"/>
    <n v="3"/>
    <x v="87"/>
    <n v="42502.451902736"/>
    <x v="0"/>
    <s v="Unique"/>
    <n v="7852.5480972639998"/>
    <s v="Sale"/>
  </r>
  <r>
    <x v="75"/>
    <x v="4"/>
    <n v="2026"/>
    <x v="1"/>
    <x v="0"/>
    <x v="0"/>
    <x v="1"/>
    <n v="2"/>
    <x v="88"/>
    <n v="41181.998629299604"/>
    <x v="0"/>
    <s v="Unique"/>
    <n v="22426.001370700396"/>
    <s v="Sale"/>
  </r>
  <r>
    <x v="0"/>
    <x v="0"/>
    <n v="2026"/>
    <x v="4"/>
    <x v="1"/>
    <x v="3"/>
    <x v="4"/>
    <n v="10"/>
    <x v="89"/>
    <n v="244856.07873703801"/>
    <x v="0"/>
    <s v="Unique"/>
    <n v="143063.92126296199"/>
    <s v="Sale"/>
  </r>
  <r>
    <x v="76"/>
    <x v="1"/>
    <n v="2026"/>
    <x v="3"/>
    <x v="0"/>
    <x v="2"/>
    <x v="0"/>
    <n v="1"/>
    <x v="90"/>
    <n v="2759.3080101487799"/>
    <x v="0"/>
    <s v="Unique"/>
    <n v="1678.6919898512201"/>
    <s v="Sale"/>
  </r>
  <r>
    <x v="26"/>
    <x v="2"/>
    <n v="2026"/>
    <x v="0"/>
    <x v="0"/>
    <x v="3"/>
    <x v="1"/>
    <n v="3"/>
    <x v="91"/>
    <n v="66723.318319123995"/>
    <x v="0"/>
    <s v="Unique"/>
    <n v="20843.681680876005"/>
    <s v="Sale"/>
  </r>
  <r>
    <x v="18"/>
    <x v="5"/>
    <n v="2026"/>
    <x v="5"/>
    <x v="1"/>
    <x v="1"/>
    <x v="2"/>
    <n v="8"/>
    <x v="92"/>
    <n v="117723.29992843101"/>
    <x v="0"/>
    <s v="Duplicate"/>
    <n v="22060.700071568994"/>
    <s v="Sale"/>
  </r>
  <r>
    <x v="77"/>
    <x v="0"/>
    <n v="2026"/>
    <x v="4"/>
    <x v="1"/>
    <x v="2"/>
    <x v="2"/>
    <n v="2"/>
    <x v="93"/>
    <n v="53144.622179006503"/>
    <x v="0"/>
    <s v="Unique"/>
    <n v="37725.377820993497"/>
    <s v="Sale"/>
  </r>
  <r>
    <x v="43"/>
    <x v="5"/>
    <n v="2026"/>
    <x v="6"/>
    <x v="0"/>
    <x v="1"/>
    <x v="4"/>
    <n v="9"/>
    <x v="94"/>
    <n v="102972.610475519"/>
    <x v="0"/>
    <s v="Unique"/>
    <n v="37211.389524480997"/>
    <s v="Sale"/>
  </r>
  <r>
    <x v="78"/>
    <x v="2"/>
    <n v="2026"/>
    <x v="2"/>
    <x v="0"/>
    <x v="1"/>
    <x v="0"/>
    <n v="9"/>
    <x v="95"/>
    <n v="135885.29656634101"/>
    <x v="0"/>
    <s v="Unique"/>
    <n v="29948.703433658986"/>
    <s v="Sale"/>
  </r>
  <r>
    <x v="69"/>
    <x v="1"/>
    <n v="2026"/>
    <x v="5"/>
    <x v="1"/>
    <x v="2"/>
    <x v="0"/>
    <n v="5"/>
    <x v="96"/>
    <n v="14962.611853070401"/>
    <x v="0"/>
    <s v="Unique"/>
    <n v="12207.388146929599"/>
    <s v="Sale"/>
  </r>
  <r>
    <x v="79"/>
    <x v="1"/>
    <n v="2026"/>
    <x v="1"/>
    <x v="0"/>
    <x v="3"/>
    <x v="1"/>
    <n v="4"/>
    <x v="97"/>
    <n v="87557.708921985293"/>
    <x v="0"/>
    <s v="Duplicate"/>
    <n v="81686.291078014707"/>
    <s v="Sale"/>
  </r>
  <r>
    <x v="32"/>
    <x v="1"/>
    <n v="2026"/>
    <x v="3"/>
    <x v="0"/>
    <x v="3"/>
    <x v="2"/>
    <n v="2"/>
    <x v="98"/>
    <n v="53581.405501950299"/>
    <x v="0"/>
    <s v="Unique"/>
    <n v="14678.594498049701"/>
    <s v="Sale"/>
  </r>
  <r>
    <x v="80"/>
    <x v="9"/>
    <n v="2026"/>
    <x v="5"/>
    <x v="1"/>
    <x v="0"/>
    <x v="2"/>
    <n v="10"/>
    <x v="99"/>
    <n v="227223.56047430899"/>
    <x v="0"/>
    <s v="Unique"/>
    <n v="140476.43952569101"/>
    <s v="Sale"/>
  </r>
  <r>
    <x v="81"/>
    <x v="6"/>
    <n v="2026"/>
    <x v="2"/>
    <x v="0"/>
    <x v="1"/>
    <x v="2"/>
    <n v="8"/>
    <x v="100"/>
    <n v="90373.028982902106"/>
    <x v="0"/>
    <s v="Unique"/>
    <n v="45418.971017097894"/>
    <s v="Sale"/>
  </r>
  <r>
    <x v="21"/>
    <x v="5"/>
    <n v="2026"/>
    <x v="5"/>
    <x v="1"/>
    <x v="1"/>
    <x v="5"/>
    <n v="8"/>
    <x v="101"/>
    <n v="27463.9917464139"/>
    <x v="0"/>
    <s v="Unique"/>
    <n v="23728.0082535861"/>
    <s v="Sale"/>
  </r>
  <r>
    <x v="14"/>
    <x v="1"/>
    <n v="2026"/>
    <x v="6"/>
    <x v="0"/>
    <x v="0"/>
    <x v="5"/>
    <n v="2"/>
    <x v="102"/>
    <n v="37103.410927334196"/>
    <x v="0"/>
    <s v="Unique"/>
    <n v="20740.589072665804"/>
    <s v="Sale"/>
  </r>
  <r>
    <x v="17"/>
    <x v="6"/>
    <n v="2026"/>
    <x v="5"/>
    <x v="1"/>
    <x v="2"/>
    <x v="1"/>
    <n v="9"/>
    <x v="103"/>
    <n v="80619.150468716602"/>
    <x v="0"/>
    <s v="Unique"/>
    <n v="62858.849531283398"/>
    <s v="Sale"/>
  </r>
  <r>
    <x v="75"/>
    <x v="4"/>
    <n v="2026"/>
    <x v="6"/>
    <x v="0"/>
    <x v="1"/>
    <x v="2"/>
    <n v="9"/>
    <x v="104"/>
    <m/>
    <x v="1"/>
    <s v="Unique"/>
    <n v="384705"/>
    <s v="Sale"/>
  </r>
  <r>
    <x v="82"/>
    <x v="0"/>
    <n v="2026"/>
    <x v="0"/>
    <x v="0"/>
    <x v="0"/>
    <x v="3"/>
    <n v="6"/>
    <x v="105"/>
    <n v="8244.8960153043899"/>
    <x v="0"/>
    <s v="Unique"/>
    <n v="6155.1039846956101"/>
    <s v="Sale"/>
  </r>
  <r>
    <x v="83"/>
    <x v="0"/>
    <n v="2026"/>
    <x v="6"/>
    <x v="0"/>
    <x v="1"/>
    <x v="2"/>
    <n v="7"/>
    <x v="106"/>
    <n v="141341.56260431401"/>
    <x v="0"/>
    <s v="Unique"/>
    <n v="80768.437395685993"/>
    <s v="Sale"/>
  </r>
  <r>
    <x v="84"/>
    <x v="4"/>
    <n v="2026"/>
    <x v="4"/>
    <x v="1"/>
    <x v="1"/>
    <x v="1"/>
    <n v="1"/>
    <x v="107"/>
    <n v="24591.1150178483"/>
    <x v="0"/>
    <s v="Unique"/>
    <n v="21577.8849821517"/>
    <s v="Sale"/>
  </r>
  <r>
    <x v="73"/>
    <x v="1"/>
    <n v="2026"/>
    <x v="1"/>
    <x v="0"/>
    <x v="0"/>
    <x v="2"/>
    <n v="2"/>
    <x v="108"/>
    <n v="31718.4130515994"/>
    <x v="0"/>
    <s v="Unique"/>
    <n v="9405.5869484005998"/>
    <s v="Sale"/>
  </r>
  <r>
    <x v="2"/>
    <x v="2"/>
    <n v="2026"/>
    <x v="1"/>
    <x v="0"/>
    <x v="1"/>
    <x v="3"/>
    <n v="4"/>
    <x v="109"/>
    <n v="35426.673163365398"/>
    <x v="0"/>
    <s v="Unique"/>
    <n v="8545.3268366346019"/>
    <s v="Sale"/>
  </r>
  <r>
    <x v="85"/>
    <x v="1"/>
    <n v="2026"/>
    <x v="3"/>
    <x v="0"/>
    <x v="1"/>
    <x v="1"/>
    <n v="9"/>
    <x v="110"/>
    <n v="338885.64266836602"/>
    <x v="0"/>
    <s v="Unique"/>
    <n v="73143.357331633975"/>
    <s v="Sale"/>
  </r>
  <r>
    <x v="86"/>
    <x v="6"/>
    <n v="2026"/>
    <x v="5"/>
    <x v="1"/>
    <x v="3"/>
    <x v="1"/>
    <n v="7"/>
    <x v="111"/>
    <n v="256665.36146664101"/>
    <x v="0"/>
    <s v="Unique"/>
    <n v="82813.638533358986"/>
    <s v="Sale"/>
  </r>
  <r>
    <x v="87"/>
    <x v="2"/>
    <n v="2026"/>
    <x v="2"/>
    <x v="0"/>
    <x v="0"/>
    <x v="4"/>
    <n v="7"/>
    <x v="112"/>
    <n v="37368.154139374099"/>
    <x v="0"/>
    <s v="Unique"/>
    <n v="25190.845860625901"/>
    <s v="Sale"/>
  </r>
  <r>
    <x v="64"/>
    <x v="5"/>
    <n v="2026"/>
    <x v="2"/>
    <x v="0"/>
    <x v="1"/>
    <x v="4"/>
    <n v="9"/>
    <x v="113"/>
    <n v="213601.66130281301"/>
    <x v="0"/>
    <s v="Unique"/>
    <n v="177889.33869718699"/>
    <s v="Sale"/>
  </r>
  <r>
    <x v="77"/>
    <x v="0"/>
    <n v="2026"/>
    <x v="4"/>
    <x v="1"/>
    <x v="0"/>
    <x v="0"/>
    <n v="3"/>
    <x v="114"/>
    <n v="69825.879730065499"/>
    <x v="0"/>
    <s v="Unique"/>
    <n v="54608.120269934501"/>
    <s v="Sale"/>
  </r>
  <r>
    <x v="88"/>
    <x v="0"/>
    <n v="2026"/>
    <x v="2"/>
    <x v="0"/>
    <x v="3"/>
    <x v="5"/>
    <n v="10"/>
    <x v="115"/>
    <n v="332860.73002006201"/>
    <x v="0"/>
    <s v="Unique"/>
    <n v="108529.26997993799"/>
    <s v="Sale"/>
  </r>
  <r>
    <x v="89"/>
    <x v="2"/>
    <n v="2026"/>
    <x v="0"/>
    <x v="0"/>
    <x v="0"/>
    <x v="3"/>
    <n v="10"/>
    <x v="116"/>
    <n v="36402.5350668186"/>
    <x v="0"/>
    <s v="Unique"/>
    <n v="20407.4649331814"/>
    <s v="Sale"/>
  </r>
  <r>
    <x v="25"/>
    <x v="1"/>
    <n v="2026"/>
    <x v="2"/>
    <x v="0"/>
    <x v="2"/>
    <x v="1"/>
    <n v="10"/>
    <x v="117"/>
    <n v="230337.80852990699"/>
    <x v="0"/>
    <s v="Unique"/>
    <n v="121972.19147009301"/>
    <s v="Sale"/>
  </r>
  <r>
    <x v="90"/>
    <x v="6"/>
    <n v="2026"/>
    <x v="0"/>
    <x v="0"/>
    <x v="1"/>
    <x v="3"/>
    <n v="10"/>
    <x v="118"/>
    <n v="232371.41361248601"/>
    <x v="0"/>
    <s v="Unique"/>
    <n v="99328.586387513991"/>
    <s v="Sale"/>
  </r>
  <r>
    <x v="91"/>
    <x v="5"/>
    <n v="2026"/>
    <x v="0"/>
    <x v="0"/>
    <x v="1"/>
    <x v="4"/>
    <n v="4"/>
    <x v="119"/>
    <n v="130629.790018295"/>
    <x v="0"/>
    <s v="Unique"/>
    <n v="62866.209981705004"/>
    <s v="Sale"/>
  </r>
  <r>
    <x v="14"/>
    <x v="1"/>
    <n v="2026"/>
    <x v="2"/>
    <x v="0"/>
    <x v="0"/>
    <x v="5"/>
    <n v="10"/>
    <x v="120"/>
    <n v="44300.165861289002"/>
    <x v="0"/>
    <s v="Unique"/>
    <n v="10009.834138710998"/>
    <s v="Sale"/>
  </r>
  <r>
    <x v="36"/>
    <x v="0"/>
    <n v="2026"/>
    <x v="2"/>
    <x v="0"/>
    <x v="1"/>
    <x v="3"/>
    <n v="2"/>
    <x v="121"/>
    <n v="61526.456432306797"/>
    <x v="0"/>
    <s v="Unique"/>
    <n v="18853.543567693203"/>
    <s v="Sale"/>
  </r>
  <r>
    <x v="92"/>
    <x v="0"/>
    <n v="2026"/>
    <x v="1"/>
    <x v="0"/>
    <x v="0"/>
    <x v="1"/>
    <n v="7"/>
    <x v="122"/>
    <n v="252510.30095421299"/>
    <x v="0"/>
    <s v="Unique"/>
    <n v="56686.699045787012"/>
    <s v="Sale"/>
  </r>
  <r>
    <x v="93"/>
    <x v="0"/>
    <n v="2026"/>
    <x v="0"/>
    <x v="0"/>
    <x v="3"/>
    <x v="1"/>
    <n v="6"/>
    <x v="123"/>
    <n v="12361.5286913487"/>
    <x v="0"/>
    <s v="Unique"/>
    <n v="6802.4713086513002"/>
    <s v="Sale"/>
  </r>
  <r>
    <x v="54"/>
    <x v="4"/>
    <n v="2026"/>
    <x v="4"/>
    <x v="1"/>
    <x v="1"/>
    <x v="4"/>
    <n v="5"/>
    <x v="124"/>
    <n v="30330.6936827764"/>
    <x v="0"/>
    <s v="Unique"/>
    <n v="12809.3063172236"/>
    <s v="Sale"/>
  </r>
  <r>
    <x v="92"/>
    <x v="0"/>
    <n v="2026"/>
    <x v="4"/>
    <x v="1"/>
    <x v="3"/>
    <x v="0"/>
    <n v="3"/>
    <x v="125"/>
    <n v="34594.452456241197"/>
    <x v="0"/>
    <s v="Unique"/>
    <n v="6958.5475437588029"/>
    <s v="Sale"/>
  </r>
  <r>
    <x v="94"/>
    <x v="1"/>
    <n v="2026"/>
    <x v="5"/>
    <x v="1"/>
    <x v="1"/>
    <x v="2"/>
    <n v="10"/>
    <x v="126"/>
    <n v="165581.73022539899"/>
    <x v="0"/>
    <s v="Unique"/>
    <n v="41148.269774601009"/>
    <s v="Sale"/>
  </r>
  <r>
    <x v="95"/>
    <x v="4"/>
    <n v="2026"/>
    <x v="0"/>
    <x v="0"/>
    <x v="3"/>
    <x v="2"/>
    <n v="5"/>
    <x v="127"/>
    <n v="94748.112488286599"/>
    <x v="0"/>
    <s v="Unique"/>
    <n v="40381.887511713401"/>
    <s v="Sale"/>
  </r>
  <r>
    <x v="14"/>
    <x v="1"/>
    <n v="2026"/>
    <x v="5"/>
    <x v="1"/>
    <x v="2"/>
    <x v="5"/>
    <n v="8"/>
    <x v="128"/>
    <n v="152026.061455324"/>
    <x v="0"/>
    <s v="Unique"/>
    <n v="58589.938544675999"/>
    <s v="Sale"/>
  </r>
  <r>
    <x v="96"/>
    <x v="5"/>
    <n v="2026"/>
    <x v="4"/>
    <x v="1"/>
    <x v="0"/>
    <x v="2"/>
    <n v="9"/>
    <x v="129"/>
    <n v="87324.049988808096"/>
    <x v="0"/>
    <s v="Unique"/>
    <n v="17579.950011191904"/>
    <s v="Sale"/>
  </r>
  <r>
    <x v="97"/>
    <x v="5"/>
    <n v="2026"/>
    <x v="3"/>
    <x v="0"/>
    <x v="0"/>
    <x v="0"/>
    <n v="7"/>
    <x v="20"/>
    <n v="33431.603307966499"/>
    <x v="1"/>
    <s v="Unique"/>
    <n v="-33431.603307966499"/>
    <s v="Sale"/>
  </r>
  <r>
    <x v="67"/>
    <x v="0"/>
    <n v="2026"/>
    <x v="1"/>
    <x v="0"/>
    <x v="0"/>
    <x v="2"/>
    <n v="3"/>
    <x v="130"/>
    <n v="99511.721176471998"/>
    <x v="0"/>
    <s v="Unique"/>
    <n v="-244225.721176472"/>
    <s v="Return"/>
  </r>
  <r>
    <x v="98"/>
    <x v="2"/>
    <n v="2026"/>
    <x v="0"/>
    <x v="0"/>
    <x v="3"/>
    <x v="4"/>
    <n v="5"/>
    <x v="20"/>
    <n v="54516.759884927204"/>
    <x v="1"/>
    <s v="Unique"/>
    <n v="-54516.759884927204"/>
    <s v="Sale"/>
  </r>
  <r>
    <x v="32"/>
    <x v="1"/>
    <n v="2026"/>
    <x v="2"/>
    <x v="0"/>
    <x v="3"/>
    <x v="1"/>
    <n v="9"/>
    <x v="131"/>
    <n v="20846.791283667899"/>
    <x v="0"/>
    <s v="Unique"/>
    <n v="6846.2087163321012"/>
    <s v="Sale"/>
  </r>
  <r>
    <x v="99"/>
    <x v="6"/>
    <n v="2026"/>
    <x v="3"/>
    <x v="0"/>
    <x v="1"/>
    <x v="5"/>
    <n v="2"/>
    <x v="132"/>
    <n v="64616.424482401802"/>
    <x v="0"/>
    <s v="Unique"/>
    <n v="7997.5755175981976"/>
    <s v="Sale"/>
  </r>
  <r>
    <x v="27"/>
    <x v="4"/>
    <n v="2026"/>
    <x v="3"/>
    <x v="0"/>
    <x v="2"/>
    <x v="5"/>
    <n v="7"/>
    <x v="20"/>
    <n v="111419.281425019"/>
    <x v="1"/>
    <s v="Unique"/>
    <n v="-111419.281425019"/>
    <s v="Sale"/>
  </r>
  <r>
    <x v="72"/>
    <x v="0"/>
    <n v="2026"/>
    <x v="0"/>
    <x v="0"/>
    <x v="0"/>
    <x v="0"/>
    <n v="1"/>
    <x v="133"/>
    <n v="18023.357135908202"/>
    <x v="0"/>
    <s v="Unique"/>
    <n v="7064.6428640917984"/>
    <s v="Sale"/>
  </r>
  <r>
    <x v="76"/>
    <x v="1"/>
    <n v="2026"/>
    <x v="4"/>
    <x v="1"/>
    <x v="1"/>
    <x v="4"/>
    <n v="8"/>
    <x v="20"/>
    <n v="21845.268775382901"/>
    <x v="1"/>
    <s v="Unique"/>
    <n v="-21845.268775382901"/>
    <s v="Sale"/>
  </r>
  <r>
    <x v="64"/>
    <x v="5"/>
    <n v="2026"/>
    <x v="6"/>
    <x v="0"/>
    <x v="3"/>
    <x v="3"/>
    <n v="1"/>
    <x v="134"/>
    <n v="25591.114722972699"/>
    <x v="0"/>
    <s v="Unique"/>
    <n v="18803.885277027301"/>
    <s v="Sale"/>
  </r>
  <r>
    <x v="100"/>
    <x v="5"/>
    <n v="2026"/>
    <x v="3"/>
    <x v="0"/>
    <x v="3"/>
    <x v="5"/>
    <n v="8"/>
    <x v="135"/>
    <n v="139016.55162896201"/>
    <x v="0"/>
    <s v="Unique"/>
    <n v="79695.448371037986"/>
    <s v="Sale"/>
  </r>
  <r>
    <x v="101"/>
    <x v="4"/>
    <n v="2026"/>
    <x v="3"/>
    <x v="0"/>
    <x v="2"/>
    <x v="2"/>
    <n v="10"/>
    <x v="136"/>
    <n v="99296.9160707478"/>
    <x v="0"/>
    <s v="Unique"/>
    <n v="38963.0839292522"/>
    <s v="Sale"/>
  </r>
  <r>
    <x v="12"/>
    <x v="5"/>
    <n v="2026"/>
    <x v="4"/>
    <x v="1"/>
    <x v="3"/>
    <x v="3"/>
    <n v="8"/>
    <x v="137"/>
    <n v="30205.723966465601"/>
    <x v="0"/>
    <s v="Unique"/>
    <n v="7994.2760335343992"/>
    <s v="Sale"/>
  </r>
  <r>
    <x v="0"/>
    <x v="0"/>
    <n v="2026"/>
    <x v="1"/>
    <x v="0"/>
    <x v="3"/>
    <x v="3"/>
    <n v="9"/>
    <x v="20"/>
    <n v="236158.67683621199"/>
    <x v="1"/>
    <s v="Unique"/>
    <n v="-236158.67683621199"/>
    <s v="Sale"/>
  </r>
  <r>
    <x v="94"/>
    <x v="1"/>
    <n v="2026"/>
    <x v="1"/>
    <x v="0"/>
    <x v="1"/>
    <x v="5"/>
    <n v="6"/>
    <x v="138"/>
    <n v="100843.781564777"/>
    <x v="0"/>
    <s v="Unique"/>
    <n v="53554.218435222996"/>
    <s v="Sale"/>
  </r>
  <r>
    <x v="25"/>
    <x v="1"/>
    <n v="2026"/>
    <x v="6"/>
    <x v="0"/>
    <x v="1"/>
    <x v="1"/>
    <n v="6"/>
    <x v="139"/>
    <n v="105445.836286388"/>
    <x v="0"/>
    <s v="Unique"/>
    <n v="-273955.83628638799"/>
    <s v="Return"/>
  </r>
  <r>
    <x v="102"/>
    <x v="2"/>
    <n v="2026"/>
    <x v="6"/>
    <x v="0"/>
    <x v="2"/>
    <x v="3"/>
    <n v="5"/>
    <x v="140"/>
    <n v="163313.78271618701"/>
    <x v="0"/>
    <s v="Unique"/>
    <n v="77381.217283812992"/>
    <s v="Sale"/>
  </r>
  <r>
    <x v="55"/>
    <x v="4"/>
    <n v="2026"/>
    <x v="1"/>
    <x v="0"/>
    <x v="3"/>
    <x v="0"/>
    <n v="8"/>
    <x v="141"/>
    <n v="51120.508742165497"/>
    <x v="0"/>
    <s v="Unique"/>
    <n v="10903.491257834503"/>
    <s v="Sale"/>
  </r>
  <r>
    <x v="103"/>
    <x v="6"/>
    <n v="2026"/>
    <x v="5"/>
    <x v="1"/>
    <x v="1"/>
    <x v="5"/>
    <n v="3"/>
    <x v="142"/>
    <n v="54218.922112233297"/>
    <x v="0"/>
    <s v="Unique"/>
    <n v="22851.077887766703"/>
    <s v="Sale"/>
  </r>
  <r>
    <x v="104"/>
    <x v="9"/>
    <n v="2026"/>
    <x v="6"/>
    <x v="0"/>
    <x v="0"/>
    <x v="2"/>
    <n v="9"/>
    <x v="143"/>
    <n v="70408.460163477401"/>
    <x v="0"/>
    <s v="Unique"/>
    <n v="24127.539836522599"/>
    <s v="Sale"/>
  </r>
  <r>
    <x v="48"/>
    <x v="4"/>
    <n v="2026"/>
    <x v="2"/>
    <x v="0"/>
    <x v="2"/>
    <x v="0"/>
    <n v="6"/>
    <x v="144"/>
    <n v="140136.91370777"/>
    <x v="0"/>
    <s v="Unique"/>
    <n v="124439.08629223"/>
    <s v="Sale"/>
  </r>
  <r>
    <x v="4"/>
    <x v="4"/>
    <n v="2026"/>
    <x v="4"/>
    <x v="1"/>
    <x v="3"/>
    <x v="1"/>
    <n v="1"/>
    <x v="145"/>
    <n v="7169.3005285803001"/>
    <x v="0"/>
    <s v="Unique"/>
    <n v="2967.6994714196999"/>
    <s v="Sale"/>
  </r>
  <r>
    <x v="105"/>
    <x v="2"/>
    <n v="2026"/>
    <x v="5"/>
    <x v="1"/>
    <x v="2"/>
    <x v="3"/>
    <n v="4"/>
    <x v="146"/>
    <n v="153982.162591995"/>
    <x v="0"/>
    <s v="Unique"/>
    <n v="20493.837408004998"/>
    <s v="Sale"/>
  </r>
  <r>
    <x v="106"/>
    <x v="6"/>
    <n v="2026"/>
    <x v="6"/>
    <x v="0"/>
    <x v="1"/>
    <x v="0"/>
    <n v="10"/>
    <x v="147"/>
    <n v="423746.19197485299"/>
    <x v="0"/>
    <s v="Unique"/>
    <n v="68523.808025147009"/>
    <s v="Sale"/>
  </r>
  <r>
    <x v="107"/>
    <x v="3"/>
    <n v="2026"/>
    <x v="0"/>
    <x v="0"/>
    <x v="0"/>
    <x v="5"/>
    <n v="4"/>
    <x v="148"/>
    <n v="105314.952033247"/>
    <x v="0"/>
    <s v="Unique"/>
    <n v="52665.047966753002"/>
    <s v="Sale"/>
  </r>
  <r>
    <x v="108"/>
    <x v="5"/>
    <n v="2026"/>
    <x v="4"/>
    <x v="1"/>
    <x v="3"/>
    <x v="3"/>
    <n v="8"/>
    <x v="149"/>
    <n v="42072.567177875702"/>
    <x v="0"/>
    <s v="Unique"/>
    <n v="12183.432822124298"/>
    <s v="Sale"/>
  </r>
  <r>
    <x v="91"/>
    <x v="5"/>
    <n v="2026"/>
    <x v="0"/>
    <x v="0"/>
    <x v="0"/>
    <x v="5"/>
    <n v="6"/>
    <x v="150"/>
    <n v="93218.284423604695"/>
    <x v="0"/>
    <s v="Unique"/>
    <n v="75561.715576395305"/>
    <s v="Sale"/>
  </r>
  <r>
    <x v="44"/>
    <x v="1"/>
    <n v="2026"/>
    <x v="3"/>
    <x v="0"/>
    <x v="1"/>
    <x v="0"/>
    <n v="2"/>
    <x v="151"/>
    <n v="6550.2136147359897"/>
    <x v="0"/>
    <s v="Unique"/>
    <n v="4081.7863852640103"/>
    <s v="Sale"/>
  </r>
  <r>
    <x v="109"/>
    <x v="2"/>
    <n v="2026"/>
    <x v="0"/>
    <x v="0"/>
    <x v="0"/>
    <x v="0"/>
    <n v="3"/>
    <x v="152"/>
    <n v="93398.188766520703"/>
    <x v="0"/>
    <s v="Unique"/>
    <n v="10563.811233479297"/>
    <s v="Sale"/>
  </r>
  <r>
    <x v="106"/>
    <x v="6"/>
    <n v="2026"/>
    <x v="4"/>
    <x v="1"/>
    <x v="1"/>
    <x v="1"/>
    <n v="6"/>
    <x v="153"/>
    <n v="16193.2886861028"/>
    <x v="0"/>
    <s v="Unique"/>
    <n v="14934.7113138972"/>
    <s v="Sale"/>
  </r>
  <r>
    <x v="95"/>
    <x v="4"/>
    <n v="2026"/>
    <x v="1"/>
    <x v="0"/>
    <x v="3"/>
    <x v="0"/>
    <n v="5"/>
    <x v="154"/>
    <m/>
    <x v="1"/>
    <s v="Unique"/>
    <n v="248385"/>
    <s v="Sale"/>
  </r>
  <r>
    <x v="110"/>
    <x v="4"/>
    <n v="2026"/>
    <x v="6"/>
    <x v="0"/>
    <x v="0"/>
    <x v="4"/>
    <n v="7"/>
    <x v="155"/>
    <n v="166853.73494698701"/>
    <x v="0"/>
    <s v="Unique"/>
    <n v="78468.26505301299"/>
    <s v="Sale"/>
  </r>
  <r>
    <x v="111"/>
    <x v="0"/>
    <n v="2026"/>
    <x v="1"/>
    <x v="0"/>
    <x v="3"/>
    <x v="3"/>
    <n v="6"/>
    <x v="156"/>
    <n v="202563.549227196"/>
    <x v="0"/>
    <s v="Unique"/>
    <n v="28784.450772804004"/>
    <s v="Sale"/>
  </r>
  <r>
    <x v="112"/>
    <x v="10"/>
    <n v="2026"/>
    <x v="1"/>
    <x v="0"/>
    <x v="1"/>
    <x v="5"/>
    <n v="6"/>
    <x v="157"/>
    <n v="140330.73138810499"/>
    <x v="0"/>
    <s v="Unique"/>
    <n v="57951.268611895008"/>
    <s v="Sale"/>
  </r>
  <r>
    <x v="111"/>
    <x v="0"/>
    <n v="2026"/>
    <x v="6"/>
    <x v="0"/>
    <x v="0"/>
    <x v="1"/>
    <n v="6"/>
    <x v="158"/>
    <n v="175808.318368415"/>
    <x v="0"/>
    <s v="Unique"/>
    <n v="35673.681631585001"/>
    <s v="Sale"/>
  </r>
  <r>
    <x v="86"/>
    <x v="6"/>
    <n v="2026"/>
    <x v="3"/>
    <x v="0"/>
    <x v="0"/>
    <x v="5"/>
    <n v="1"/>
    <x v="159"/>
    <n v="28365.370005185399"/>
    <x v="0"/>
    <s v="Unique"/>
    <n v="12753.629994814601"/>
    <s v="Sale"/>
  </r>
  <r>
    <x v="113"/>
    <x v="4"/>
    <n v="2026"/>
    <x v="3"/>
    <x v="0"/>
    <x v="1"/>
    <x v="1"/>
    <n v="10"/>
    <x v="160"/>
    <m/>
    <x v="1"/>
    <s v="Unique"/>
    <n v="269160"/>
    <s v="Sale"/>
  </r>
  <r>
    <x v="114"/>
    <x v="6"/>
    <n v="2026"/>
    <x v="3"/>
    <x v="0"/>
    <x v="0"/>
    <x v="2"/>
    <n v="3"/>
    <x v="161"/>
    <n v="67676.110899690102"/>
    <x v="0"/>
    <s v="Unique"/>
    <n v="19512.889100309898"/>
    <s v="Sale"/>
  </r>
  <r>
    <x v="115"/>
    <x v="6"/>
    <n v="2026"/>
    <x v="6"/>
    <x v="0"/>
    <x v="0"/>
    <x v="5"/>
    <n v="8"/>
    <x v="162"/>
    <n v="189685.16598361"/>
    <x v="0"/>
    <s v="Unique"/>
    <n v="101810.83401639"/>
    <s v="Sale"/>
  </r>
  <r>
    <x v="116"/>
    <x v="4"/>
    <n v="2026"/>
    <x v="0"/>
    <x v="0"/>
    <x v="0"/>
    <x v="1"/>
    <n v="8"/>
    <x v="163"/>
    <n v="103126.80315015699"/>
    <x v="0"/>
    <s v="Unique"/>
    <n v="13673.196849843007"/>
    <s v="Sale"/>
  </r>
  <r>
    <x v="117"/>
    <x v="5"/>
    <n v="2026"/>
    <x v="0"/>
    <x v="0"/>
    <x v="3"/>
    <x v="3"/>
    <n v="8"/>
    <x v="164"/>
    <n v="144022.11521818201"/>
    <x v="0"/>
    <s v="Unique"/>
    <n v="54849.884781817993"/>
    <s v="Sale"/>
  </r>
  <r>
    <x v="16"/>
    <x v="4"/>
    <n v="2026"/>
    <x v="3"/>
    <x v="0"/>
    <x v="0"/>
    <x v="0"/>
    <n v="5"/>
    <x v="165"/>
    <n v="14625.939809433599"/>
    <x v="0"/>
    <s v="Duplicate"/>
    <n v="9154.0601905664007"/>
    <s v="Sale"/>
  </r>
  <r>
    <x v="118"/>
    <x v="5"/>
    <n v="2026"/>
    <x v="2"/>
    <x v="0"/>
    <x v="0"/>
    <x v="1"/>
    <n v="5"/>
    <x v="166"/>
    <n v="29892.110981911101"/>
    <x v="0"/>
    <s v="Unique"/>
    <n v="25087.889018088899"/>
    <s v="Sale"/>
  </r>
  <r>
    <x v="41"/>
    <x v="4"/>
    <n v="2026"/>
    <x v="1"/>
    <x v="0"/>
    <x v="3"/>
    <x v="3"/>
    <n v="8"/>
    <x v="167"/>
    <n v="53078.425512793299"/>
    <x v="0"/>
    <s v="Unique"/>
    <n v="15633.574487206701"/>
    <s v="Sale"/>
  </r>
  <r>
    <x v="109"/>
    <x v="2"/>
    <n v="2026"/>
    <x v="3"/>
    <x v="0"/>
    <x v="3"/>
    <x v="5"/>
    <n v="4"/>
    <x v="168"/>
    <n v="52348.793966287201"/>
    <x v="0"/>
    <s v="Unique"/>
    <n v="30947.206033712799"/>
    <s v="Sale"/>
  </r>
  <r>
    <x v="16"/>
    <x v="4"/>
    <n v="2026"/>
    <x v="2"/>
    <x v="0"/>
    <x v="2"/>
    <x v="0"/>
    <n v="7"/>
    <x v="20"/>
    <n v="82674.574346048306"/>
    <x v="1"/>
    <s v="Unique"/>
    <n v="-82674.574346048306"/>
    <s v="Sale"/>
  </r>
  <r>
    <x v="102"/>
    <x v="2"/>
    <n v="2026"/>
    <x v="5"/>
    <x v="1"/>
    <x v="2"/>
    <x v="4"/>
    <n v="5"/>
    <x v="169"/>
    <n v="145336.001380211"/>
    <x v="0"/>
    <s v="Unique"/>
    <n v="50768.998619788996"/>
    <s v="Sale"/>
  </r>
  <r>
    <x v="11"/>
    <x v="0"/>
    <n v="2026"/>
    <x v="4"/>
    <x v="1"/>
    <x v="3"/>
    <x v="3"/>
    <n v="4"/>
    <x v="170"/>
    <n v="23727.965114361301"/>
    <x v="0"/>
    <s v="Unique"/>
    <n v="13800.034885638699"/>
    <s v="Sale"/>
  </r>
  <r>
    <x v="119"/>
    <x v="6"/>
    <n v="2026"/>
    <x v="6"/>
    <x v="0"/>
    <x v="1"/>
    <x v="0"/>
    <n v="10"/>
    <x v="171"/>
    <n v="376668.593956333"/>
    <x v="0"/>
    <s v="Unique"/>
    <n v="61921.406043666997"/>
    <s v="Sale"/>
  </r>
  <r>
    <x v="31"/>
    <x v="0"/>
    <n v="2026"/>
    <x v="4"/>
    <x v="1"/>
    <x v="3"/>
    <x v="3"/>
    <n v="4"/>
    <x v="172"/>
    <n v="5915.0265167666203"/>
    <x v="0"/>
    <s v="Unique"/>
    <n v="3872.9734832333797"/>
    <s v="Sale"/>
  </r>
  <r>
    <x v="59"/>
    <x v="5"/>
    <n v="2026"/>
    <x v="5"/>
    <x v="1"/>
    <x v="0"/>
    <x v="5"/>
    <n v="4"/>
    <x v="173"/>
    <n v="18628.6072047083"/>
    <x v="0"/>
    <s v="Unique"/>
    <n v="5655.3927952917002"/>
    <s v="Sale"/>
  </r>
  <r>
    <x v="65"/>
    <x v="0"/>
    <n v="2026"/>
    <x v="0"/>
    <x v="0"/>
    <x v="0"/>
    <x v="3"/>
    <n v="10"/>
    <x v="174"/>
    <n v="96803.821772831594"/>
    <x v="0"/>
    <s v="Unique"/>
    <n v="67926.178227168406"/>
    <s v="Sale"/>
  </r>
  <r>
    <x v="6"/>
    <x v="0"/>
    <n v="2026"/>
    <x v="3"/>
    <x v="0"/>
    <x v="1"/>
    <x v="0"/>
    <n v="10"/>
    <x v="175"/>
    <n v="52306.426092246104"/>
    <x v="0"/>
    <s v="Unique"/>
    <n v="21343.573907753896"/>
    <s v="Sale"/>
  </r>
  <r>
    <x v="114"/>
    <x v="6"/>
    <n v="2026"/>
    <x v="6"/>
    <x v="0"/>
    <x v="1"/>
    <x v="1"/>
    <n v="9"/>
    <x v="176"/>
    <n v="60191.3850869093"/>
    <x v="0"/>
    <s v="Unique"/>
    <n v="46188.6149130907"/>
    <s v="Sale"/>
  </r>
  <r>
    <x v="9"/>
    <x v="4"/>
    <n v="2026"/>
    <x v="3"/>
    <x v="0"/>
    <x v="2"/>
    <x v="2"/>
    <n v="3"/>
    <x v="177"/>
    <n v="71218.884136233901"/>
    <x v="0"/>
    <s v="Unique"/>
    <n v="35689.115863766099"/>
    <s v="Sale"/>
  </r>
  <r>
    <x v="12"/>
    <x v="5"/>
    <n v="2026"/>
    <x v="2"/>
    <x v="0"/>
    <x v="2"/>
    <x v="5"/>
    <n v="4"/>
    <x v="178"/>
    <n v="84462.204934442794"/>
    <x v="0"/>
    <s v="Unique"/>
    <n v="75137.795065557206"/>
    <s v="Sale"/>
  </r>
  <r>
    <x v="115"/>
    <x v="6"/>
    <n v="2026"/>
    <x v="3"/>
    <x v="0"/>
    <x v="2"/>
    <x v="3"/>
    <n v="7"/>
    <x v="179"/>
    <n v="77984.814889349596"/>
    <x v="0"/>
    <s v="Unique"/>
    <n v="18580.185110650404"/>
    <s v="Sale"/>
  </r>
  <r>
    <x v="45"/>
    <x v="1"/>
    <n v="2026"/>
    <x v="3"/>
    <x v="0"/>
    <x v="3"/>
    <x v="2"/>
    <n v="2"/>
    <x v="180"/>
    <n v="82796.600468129895"/>
    <x v="0"/>
    <s v="Unique"/>
    <n v="10689.399531870105"/>
    <s v="Sale"/>
  </r>
  <r>
    <x v="120"/>
    <x v="6"/>
    <n v="2026"/>
    <x v="6"/>
    <x v="0"/>
    <x v="3"/>
    <x v="1"/>
    <n v="3"/>
    <x v="181"/>
    <n v="132921.12184584999"/>
    <x v="0"/>
    <s v="Unique"/>
    <n v="16178.878154150007"/>
    <s v="Sale"/>
  </r>
  <r>
    <x v="76"/>
    <x v="1"/>
    <n v="2026"/>
    <x v="6"/>
    <x v="0"/>
    <x v="3"/>
    <x v="0"/>
    <n v="4"/>
    <x v="182"/>
    <n v="82200.949424074701"/>
    <x v="0"/>
    <s v="Unique"/>
    <n v="46547.050575925299"/>
    <s v="Sale"/>
  </r>
  <r>
    <x v="114"/>
    <x v="6"/>
    <n v="2026"/>
    <x v="0"/>
    <x v="0"/>
    <x v="3"/>
    <x v="1"/>
    <n v="1"/>
    <x v="183"/>
    <m/>
    <x v="1"/>
    <s v="Unique"/>
    <n v="17772"/>
    <s v="Sale"/>
  </r>
  <r>
    <x v="65"/>
    <x v="0"/>
    <n v="2026"/>
    <x v="1"/>
    <x v="0"/>
    <x v="3"/>
    <x v="2"/>
    <n v="4"/>
    <x v="184"/>
    <n v="87738.003507145098"/>
    <x v="0"/>
    <s v="Unique"/>
    <n v="61753.996492854902"/>
    <s v="Sale"/>
  </r>
  <r>
    <x v="108"/>
    <x v="5"/>
    <n v="2026"/>
    <x v="6"/>
    <x v="0"/>
    <x v="0"/>
    <x v="1"/>
    <n v="10"/>
    <x v="185"/>
    <n v="381202.89273931499"/>
    <x v="0"/>
    <s v="Unique"/>
    <n v="79547.107260685007"/>
    <s v="Sale"/>
  </r>
  <r>
    <x v="121"/>
    <x v="4"/>
    <n v="2026"/>
    <x v="1"/>
    <x v="0"/>
    <x v="1"/>
    <x v="5"/>
    <n v="7"/>
    <x v="186"/>
    <n v="187826.00374098899"/>
    <x v="0"/>
    <s v="Unique"/>
    <n v="81169.996259011008"/>
    <s v="Sale"/>
  </r>
  <r>
    <x v="122"/>
    <x v="4"/>
    <n v="2026"/>
    <x v="4"/>
    <x v="1"/>
    <x v="0"/>
    <x v="2"/>
    <n v="3"/>
    <x v="187"/>
    <n v="77047.495940179695"/>
    <x v="0"/>
    <s v="Unique"/>
    <n v="34711.504059820305"/>
    <s v="Sale"/>
  </r>
  <r>
    <x v="76"/>
    <x v="1"/>
    <n v="2026"/>
    <x v="3"/>
    <x v="0"/>
    <x v="1"/>
    <x v="2"/>
    <n v="4"/>
    <x v="188"/>
    <n v="43509.4137796586"/>
    <x v="0"/>
    <s v="Duplicate"/>
    <n v="31334.5862203414"/>
    <s v="Sale"/>
  </r>
  <r>
    <x v="106"/>
    <x v="6"/>
    <n v="2026"/>
    <x v="1"/>
    <x v="0"/>
    <x v="0"/>
    <x v="2"/>
    <n v="10"/>
    <x v="189"/>
    <n v="214131.95047118"/>
    <x v="0"/>
    <s v="Unique"/>
    <n v="200998.04952882"/>
    <s v="Sale"/>
  </r>
  <r>
    <x v="31"/>
    <x v="0"/>
    <n v="2026"/>
    <x v="2"/>
    <x v="0"/>
    <x v="0"/>
    <x v="3"/>
    <n v="1"/>
    <x v="190"/>
    <n v="13893.7136797659"/>
    <x v="0"/>
    <s v="Unique"/>
    <n v="1987.2863202340995"/>
    <s v="Sale"/>
  </r>
  <r>
    <x v="48"/>
    <x v="4"/>
    <n v="2026"/>
    <x v="0"/>
    <x v="0"/>
    <x v="1"/>
    <x v="2"/>
    <n v="4"/>
    <x v="191"/>
    <n v="96009.332243262397"/>
    <x v="0"/>
    <s v="Unique"/>
    <n v="56714.667756737603"/>
    <s v="Sale"/>
  </r>
  <r>
    <x v="12"/>
    <x v="5"/>
    <n v="2026"/>
    <x v="3"/>
    <x v="0"/>
    <x v="3"/>
    <x v="4"/>
    <n v="8"/>
    <x v="192"/>
    <n v="159197.76271250399"/>
    <x v="0"/>
    <s v="Unique"/>
    <n v="24690.237287496013"/>
    <s v="Sale"/>
  </r>
  <r>
    <x v="2"/>
    <x v="2"/>
    <n v="2026"/>
    <x v="6"/>
    <x v="0"/>
    <x v="3"/>
    <x v="3"/>
    <n v="3"/>
    <x v="193"/>
    <n v="28166.470264527601"/>
    <x v="0"/>
    <s v="Unique"/>
    <n v="16404.529735472399"/>
    <s v="Sale"/>
  </r>
  <r>
    <x v="123"/>
    <x v="0"/>
    <n v="2026"/>
    <x v="2"/>
    <x v="0"/>
    <x v="3"/>
    <x v="5"/>
    <n v="8"/>
    <x v="194"/>
    <n v="146134.79487884601"/>
    <x v="0"/>
    <s v="Unique"/>
    <n v="111465.20512115399"/>
    <s v="Sale"/>
  </r>
  <r>
    <x v="6"/>
    <x v="0"/>
    <n v="2026"/>
    <x v="6"/>
    <x v="0"/>
    <x v="2"/>
    <x v="1"/>
    <n v="1"/>
    <x v="195"/>
    <n v="6033.2550048245403"/>
    <x v="0"/>
    <s v="Unique"/>
    <n v="837.74499517545974"/>
    <s v="Sale"/>
  </r>
  <r>
    <x v="39"/>
    <x v="0"/>
    <n v="2026"/>
    <x v="1"/>
    <x v="0"/>
    <x v="1"/>
    <x v="1"/>
    <n v="8"/>
    <x v="196"/>
    <n v="110950.045587842"/>
    <x v="0"/>
    <s v="Unique"/>
    <n v="100713.954412158"/>
    <s v="Sale"/>
  </r>
  <r>
    <x v="72"/>
    <x v="0"/>
    <n v="2026"/>
    <x v="6"/>
    <x v="0"/>
    <x v="3"/>
    <x v="4"/>
    <n v="1"/>
    <x v="197"/>
    <n v="28947.8447680223"/>
    <x v="0"/>
    <s v="Unique"/>
    <n v="7747.1552319777002"/>
    <s v="Sale"/>
  </r>
  <r>
    <x v="57"/>
    <x v="0"/>
    <n v="2026"/>
    <x v="4"/>
    <x v="1"/>
    <x v="2"/>
    <x v="4"/>
    <n v="9"/>
    <x v="198"/>
    <n v="63110.921509232001"/>
    <x v="0"/>
    <s v="Unique"/>
    <n v="42711.078490767999"/>
    <s v="Sale"/>
  </r>
  <r>
    <x v="124"/>
    <x v="11"/>
    <n v="2026"/>
    <x v="3"/>
    <x v="0"/>
    <x v="3"/>
    <x v="1"/>
    <n v="4"/>
    <x v="199"/>
    <n v="112623.257290899"/>
    <x v="0"/>
    <s v="Unique"/>
    <n v="78152.742709101003"/>
    <s v="Sale"/>
  </r>
  <r>
    <x v="67"/>
    <x v="0"/>
    <n v="2026"/>
    <x v="3"/>
    <x v="0"/>
    <x v="3"/>
    <x v="1"/>
    <n v="8"/>
    <x v="200"/>
    <n v="34275.420239773899"/>
    <x v="0"/>
    <s v="Duplicate"/>
    <n v="11140.579760226101"/>
    <s v="Sale"/>
  </r>
  <r>
    <x v="77"/>
    <x v="0"/>
    <n v="2026"/>
    <x v="2"/>
    <x v="0"/>
    <x v="2"/>
    <x v="1"/>
    <n v="1"/>
    <x v="201"/>
    <n v="9970.9562888890796"/>
    <x v="0"/>
    <s v="Unique"/>
    <n v="7086.0437111109204"/>
    <s v="Sale"/>
  </r>
  <r>
    <x v="125"/>
    <x v="6"/>
    <n v="2026"/>
    <x v="5"/>
    <x v="1"/>
    <x v="2"/>
    <x v="0"/>
    <n v="6"/>
    <x v="202"/>
    <n v="16060.5738445555"/>
    <x v="0"/>
    <s v="Unique"/>
    <n v="2095.4261554445002"/>
    <s v="Sale"/>
  </r>
  <r>
    <x v="126"/>
    <x v="1"/>
    <n v="2026"/>
    <x v="6"/>
    <x v="0"/>
    <x v="1"/>
    <x v="1"/>
    <n v="7"/>
    <x v="203"/>
    <n v="278696.319484565"/>
    <x v="0"/>
    <s v="Unique"/>
    <n v="45893.680515435"/>
    <s v="Sale"/>
  </r>
  <r>
    <x v="127"/>
    <x v="0"/>
    <n v="2026"/>
    <x v="5"/>
    <x v="1"/>
    <x v="2"/>
    <x v="4"/>
    <n v="7"/>
    <x v="204"/>
    <n v="100666.599268187"/>
    <x v="0"/>
    <s v="Unique"/>
    <n v="19824.400731813002"/>
    <s v="Sale"/>
  </r>
  <r>
    <x v="126"/>
    <x v="1"/>
    <n v="2026"/>
    <x v="0"/>
    <x v="0"/>
    <x v="0"/>
    <x v="2"/>
    <n v="8"/>
    <x v="205"/>
    <n v="87104.337959397802"/>
    <x v="0"/>
    <s v="Unique"/>
    <n v="48503.662040602198"/>
    <s v="Sale"/>
  </r>
  <r>
    <x v="92"/>
    <x v="0"/>
    <n v="2026"/>
    <x v="5"/>
    <x v="1"/>
    <x v="1"/>
    <x v="5"/>
    <n v="2"/>
    <x v="206"/>
    <n v="8957.2493599029403"/>
    <x v="0"/>
    <s v="Unique"/>
    <n v="5794.7506400970597"/>
    <s v="Sale"/>
  </r>
  <r>
    <x v="128"/>
    <x v="1"/>
    <n v="2026"/>
    <x v="1"/>
    <x v="0"/>
    <x v="0"/>
    <x v="2"/>
    <n v="6"/>
    <x v="207"/>
    <n v="63865.348796002902"/>
    <x v="0"/>
    <s v="Unique"/>
    <n v="54208.651203997098"/>
    <s v="Sale"/>
  </r>
  <r>
    <x v="63"/>
    <x v="4"/>
    <n v="2026"/>
    <x v="5"/>
    <x v="1"/>
    <x v="2"/>
    <x v="1"/>
    <n v="10"/>
    <x v="20"/>
    <n v="196668.79408574101"/>
    <x v="1"/>
    <s v="Unique"/>
    <n v="-196668.79408574101"/>
    <s v="Sale"/>
  </r>
  <r>
    <x v="110"/>
    <x v="4"/>
    <n v="2026"/>
    <x v="6"/>
    <x v="0"/>
    <x v="1"/>
    <x v="5"/>
    <n v="7"/>
    <x v="208"/>
    <n v="50973.763379952099"/>
    <x v="0"/>
    <s v="Unique"/>
    <n v="40782.236620047901"/>
    <s v="Sale"/>
  </r>
  <r>
    <x v="33"/>
    <x v="1"/>
    <n v="2026"/>
    <x v="2"/>
    <x v="0"/>
    <x v="2"/>
    <x v="3"/>
    <n v="5"/>
    <x v="209"/>
    <n v="71583.068113187095"/>
    <x v="0"/>
    <s v="Unique"/>
    <n v="19216.931886812905"/>
    <s v="Sale"/>
  </r>
  <r>
    <x v="26"/>
    <x v="2"/>
    <n v="2026"/>
    <x v="5"/>
    <x v="1"/>
    <x v="3"/>
    <x v="3"/>
    <n v="8"/>
    <x v="210"/>
    <n v="128732.513538599"/>
    <x v="0"/>
    <s v="Unique"/>
    <n v="62763.486461401"/>
    <s v="Sale"/>
  </r>
  <r>
    <x v="117"/>
    <x v="5"/>
    <n v="2026"/>
    <x v="4"/>
    <x v="1"/>
    <x v="3"/>
    <x v="3"/>
    <n v="3"/>
    <x v="211"/>
    <n v="74812.752007032395"/>
    <x v="0"/>
    <s v="Unique"/>
    <n v="9484.2479929676047"/>
    <s v="Sale"/>
  </r>
  <r>
    <x v="113"/>
    <x v="4"/>
    <n v="2026"/>
    <x v="5"/>
    <x v="1"/>
    <x v="3"/>
    <x v="3"/>
    <n v="2"/>
    <x v="212"/>
    <n v="45178.089197900401"/>
    <x v="0"/>
    <s v="Unique"/>
    <n v="32725.910802099599"/>
    <s v="Sale"/>
  </r>
  <r>
    <x v="129"/>
    <x v="6"/>
    <n v="2026"/>
    <x v="0"/>
    <x v="0"/>
    <x v="1"/>
    <x v="2"/>
    <n v="5"/>
    <x v="213"/>
    <n v="125069.433686406"/>
    <x v="0"/>
    <s v="Unique"/>
    <n v="111955.566313594"/>
    <s v="Sale"/>
  </r>
  <r>
    <x v="130"/>
    <x v="2"/>
    <n v="2026"/>
    <x v="0"/>
    <x v="0"/>
    <x v="1"/>
    <x v="5"/>
    <n v="7"/>
    <x v="214"/>
    <n v="99001.876150409604"/>
    <x v="0"/>
    <s v="Unique"/>
    <n v="87940.123849590396"/>
    <s v="Sale"/>
  </r>
  <r>
    <x v="27"/>
    <x v="4"/>
    <n v="2026"/>
    <x v="3"/>
    <x v="0"/>
    <x v="2"/>
    <x v="3"/>
    <n v="9"/>
    <x v="215"/>
    <n v="278124.43642781599"/>
    <x v="0"/>
    <s v="Unique"/>
    <n v="90119.563572184008"/>
    <s v="Sale"/>
  </r>
  <r>
    <x v="119"/>
    <x v="6"/>
    <n v="2026"/>
    <x v="6"/>
    <x v="0"/>
    <x v="2"/>
    <x v="1"/>
    <n v="7"/>
    <x v="216"/>
    <m/>
    <x v="1"/>
    <s v="Unique"/>
    <n v="166117"/>
    <s v="Sale"/>
  </r>
  <r>
    <x v="131"/>
    <x v="4"/>
    <n v="2026"/>
    <x v="0"/>
    <x v="0"/>
    <x v="1"/>
    <x v="2"/>
    <n v="6"/>
    <x v="217"/>
    <n v="113608.98154065201"/>
    <x v="0"/>
    <s v="Unique"/>
    <n v="52189.018459347993"/>
    <s v="Sale"/>
  </r>
  <r>
    <x v="129"/>
    <x v="6"/>
    <n v="2026"/>
    <x v="1"/>
    <x v="0"/>
    <x v="2"/>
    <x v="5"/>
    <n v="3"/>
    <x v="218"/>
    <n v="46534.336149945702"/>
    <x v="0"/>
    <s v="Unique"/>
    <n v="27949.663850054298"/>
    <s v="Sale"/>
  </r>
  <r>
    <x v="130"/>
    <x v="2"/>
    <n v="2026"/>
    <x v="0"/>
    <x v="0"/>
    <x v="3"/>
    <x v="3"/>
    <n v="2"/>
    <x v="219"/>
    <m/>
    <x v="1"/>
    <s v="Unique"/>
    <n v="43356"/>
    <s v="Sale"/>
  </r>
  <r>
    <x v="40"/>
    <x v="6"/>
    <n v="2026"/>
    <x v="0"/>
    <x v="0"/>
    <x v="1"/>
    <x v="1"/>
    <n v="3"/>
    <x v="220"/>
    <n v="64588.163953654803"/>
    <x v="0"/>
    <s v="Unique"/>
    <n v="49918.836046345197"/>
    <s v="Sale"/>
  </r>
  <r>
    <x v="46"/>
    <x v="1"/>
    <n v="2026"/>
    <x v="0"/>
    <x v="0"/>
    <x v="3"/>
    <x v="2"/>
    <n v="1"/>
    <x v="221"/>
    <n v="36045.932671887102"/>
    <x v="0"/>
    <s v="Unique"/>
    <n v="-78291.932671887102"/>
    <s v="Return"/>
  </r>
  <r>
    <x v="61"/>
    <x v="2"/>
    <n v="2026"/>
    <x v="2"/>
    <x v="0"/>
    <x v="2"/>
    <x v="1"/>
    <n v="2"/>
    <x v="222"/>
    <n v="42746.681190383497"/>
    <x v="0"/>
    <s v="Unique"/>
    <n v="31623.318809616503"/>
    <s v="Sale"/>
  </r>
  <r>
    <x v="55"/>
    <x v="4"/>
    <n v="2026"/>
    <x v="6"/>
    <x v="0"/>
    <x v="3"/>
    <x v="1"/>
    <n v="7"/>
    <x v="223"/>
    <n v="154585.50177236801"/>
    <x v="0"/>
    <s v="Unique"/>
    <n v="128697.49822763199"/>
    <s v="Sale"/>
  </r>
  <r>
    <x v="132"/>
    <x v="0"/>
    <n v="2026"/>
    <x v="6"/>
    <x v="0"/>
    <x v="2"/>
    <x v="5"/>
    <n v="3"/>
    <x v="224"/>
    <n v="36971.659037461301"/>
    <x v="0"/>
    <s v="Duplicate"/>
    <n v="30600.340962538699"/>
    <s v="Sale"/>
  </r>
  <r>
    <x v="131"/>
    <x v="4"/>
    <n v="2026"/>
    <x v="6"/>
    <x v="0"/>
    <x v="3"/>
    <x v="2"/>
    <n v="3"/>
    <x v="225"/>
    <n v="76688.631187122402"/>
    <x v="0"/>
    <s v="Unique"/>
    <n v="24993.368812877598"/>
    <s v="Sale"/>
  </r>
  <r>
    <x v="75"/>
    <x v="4"/>
    <n v="2026"/>
    <x v="5"/>
    <x v="1"/>
    <x v="1"/>
    <x v="0"/>
    <n v="6"/>
    <x v="226"/>
    <n v="141578.64309761001"/>
    <x v="0"/>
    <s v="Unique"/>
    <n v="47757.356902389991"/>
    <s v="Sale"/>
  </r>
  <r>
    <x v="133"/>
    <x v="2"/>
    <n v="2026"/>
    <x v="6"/>
    <x v="0"/>
    <x v="3"/>
    <x v="2"/>
    <n v="8"/>
    <x v="227"/>
    <n v="183394.056631249"/>
    <x v="0"/>
    <s v="Unique"/>
    <n v="50509.943368751003"/>
    <s v="Sale"/>
  </r>
  <r>
    <x v="2"/>
    <x v="2"/>
    <n v="2026"/>
    <x v="6"/>
    <x v="0"/>
    <x v="0"/>
    <x v="0"/>
    <n v="8"/>
    <x v="228"/>
    <n v="249112.601929269"/>
    <x v="0"/>
    <s v="Unique"/>
    <n v="63447.398070730997"/>
    <s v="Sale"/>
  </r>
  <r>
    <x v="81"/>
    <x v="6"/>
    <n v="2026"/>
    <x v="5"/>
    <x v="1"/>
    <x v="2"/>
    <x v="5"/>
    <n v="8"/>
    <x v="229"/>
    <n v="177658.32912977799"/>
    <x v="0"/>
    <s v="Unique"/>
    <n v="124781.67087022201"/>
    <s v="Sale"/>
  </r>
  <r>
    <x v="134"/>
    <x v="5"/>
    <n v="2026"/>
    <x v="3"/>
    <x v="0"/>
    <x v="0"/>
    <x v="3"/>
    <n v="2"/>
    <x v="230"/>
    <n v="52076.759148288002"/>
    <x v="0"/>
    <s v="Unique"/>
    <n v="9471.2408517119984"/>
    <s v="Sale"/>
  </r>
  <r>
    <x v="135"/>
    <x v="4"/>
    <n v="2026"/>
    <x v="6"/>
    <x v="0"/>
    <x v="3"/>
    <x v="0"/>
    <n v="10"/>
    <x v="231"/>
    <n v="90542.654896451102"/>
    <x v="0"/>
    <s v="Unique"/>
    <n v="20697.345103548898"/>
    <s v="Sale"/>
  </r>
  <r>
    <x v="136"/>
    <x v="4"/>
    <n v="2026"/>
    <x v="5"/>
    <x v="1"/>
    <x v="0"/>
    <x v="3"/>
    <n v="10"/>
    <x v="232"/>
    <n v="171963.184731855"/>
    <x v="0"/>
    <s v="Unique"/>
    <n v="23236.815268145001"/>
    <s v="Sale"/>
  </r>
  <r>
    <x v="26"/>
    <x v="2"/>
    <n v="2026"/>
    <x v="1"/>
    <x v="0"/>
    <x v="0"/>
    <x v="5"/>
    <n v="3"/>
    <x v="233"/>
    <n v="121804.881165762"/>
    <x v="0"/>
    <s v="Unique"/>
    <n v="22099.118834238005"/>
    <s v="Sale"/>
  </r>
  <r>
    <x v="36"/>
    <x v="0"/>
    <n v="2026"/>
    <x v="0"/>
    <x v="0"/>
    <x v="0"/>
    <x v="5"/>
    <n v="7"/>
    <x v="234"/>
    <n v="126702.39099684999"/>
    <x v="0"/>
    <s v="Unique"/>
    <n v="59406.609003150006"/>
    <s v="Sale"/>
  </r>
  <r>
    <x v="63"/>
    <x v="4"/>
    <n v="2026"/>
    <x v="5"/>
    <x v="1"/>
    <x v="3"/>
    <x v="2"/>
    <n v="6"/>
    <x v="235"/>
    <n v="120655.241194833"/>
    <x v="0"/>
    <s v="Unique"/>
    <n v="120178.758805167"/>
    <s v="Sale"/>
  </r>
  <r>
    <x v="32"/>
    <x v="1"/>
    <n v="2026"/>
    <x v="2"/>
    <x v="0"/>
    <x v="2"/>
    <x v="1"/>
    <n v="7"/>
    <x v="236"/>
    <n v="101080.119394055"/>
    <x v="0"/>
    <s v="Unique"/>
    <n v="12844.880605945"/>
    <s v="Sale"/>
  </r>
  <r>
    <x v="96"/>
    <x v="5"/>
    <n v="2026"/>
    <x v="6"/>
    <x v="0"/>
    <x v="3"/>
    <x v="3"/>
    <n v="1"/>
    <x v="237"/>
    <n v="2704.5477828000699"/>
    <x v="0"/>
    <s v="Unique"/>
    <n v="2305.4522171999301"/>
    <s v="Sale"/>
  </r>
  <r>
    <x v="109"/>
    <x v="2"/>
    <n v="2026"/>
    <x v="3"/>
    <x v="0"/>
    <x v="1"/>
    <x v="5"/>
    <n v="3"/>
    <x v="238"/>
    <n v="83052.117317015596"/>
    <x v="0"/>
    <s v="Unique"/>
    <n v="50741.882682984404"/>
    <s v="Sale"/>
  </r>
  <r>
    <x v="137"/>
    <x v="1"/>
    <n v="2026"/>
    <x v="0"/>
    <x v="0"/>
    <x v="1"/>
    <x v="4"/>
    <n v="7"/>
    <x v="239"/>
    <n v="187278.95765335899"/>
    <x v="0"/>
    <s v="Unique"/>
    <n v="113714.04234664101"/>
    <s v="Sale"/>
  </r>
  <r>
    <x v="65"/>
    <x v="0"/>
    <n v="2026"/>
    <x v="4"/>
    <x v="1"/>
    <x v="3"/>
    <x v="4"/>
    <n v="3"/>
    <x v="240"/>
    <m/>
    <x v="1"/>
    <s v="Unique"/>
    <n v="122721"/>
    <s v="Sale"/>
  </r>
  <r>
    <x v="120"/>
    <x v="6"/>
    <n v="2026"/>
    <x v="4"/>
    <x v="1"/>
    <x v="3"/>
    <x v="4"/>
    <n v="4"/>
    <x v="241"/>
    <n v="58081.967390806698"/>
    <x v="0"/>
    <s v="Unique"/>
    <n v="50334.032609193302"/>
    <s v="Sale"/>
  </r>
  <r>
    <x v="117"/>
    <x v="5"/>
    <n v="2026"/>
    <x v="2"/>
    <x v="0"/>
    <x v="1"/>
    <x v="5"/>
    <n v="3"/>
    <x v="20"/>
    <n v="13851.6421882225"/>
    <x v="1"/>
    <s v="Unique"/>
    <n v="-13851.6421882225"/>
    <s v="Sale"/>
  </r>
  <r>
    <x v="61"/>
    <x v="2"/>
    <n v="2026"/>
    <x v="3"/>
    <x v="0"/>
    <x v="3"/>
    <x v="0"/>
    <n v="2"/>
    <x v="242"/>
    <n v="9545.4982458292998"/>
    <x v="0"/>
    <s v="Unique"/>
    <n v="7622.5017541707002"/>
    <s v="Sale"/>
  </r>
  <r>
    <x v="138"/>
    <x v="1"/>
    <n v="2026"/>
    <x v="5"/>
    <x v="1"/>
    <x v="2"/>
    <x v="0"/>
    <n v="9"/>
    <x v="243"/>
    <n v="275638.59216315497"/>
    <x v="0"/>
    <s v="Unique"/>
    <n v="96844.407836845028"/>
    <s v="Sale"/>
  </r>
  <r>
    <x v="72"/>
    <x v="0"/>
    <n v="2026"/>
    <x v="6"/>
    <x v="0"/>
    <x v="1"/>
    <x v="5"/>
    <n v="7"/>
    <x v="244"/>
    <n v="113448.596084672"/>
    <x v="0"/>
    <s v="Unique"/>
    <n v="36127.403915328003"/>
    <s v="Sale"/>
  </r>
  <r>
    <x v="139"/>
    <x v="10"/>
    <n v="2026"/>
    <x v="3"/>
    <x v="0"/>
    <x v="2"/>
    <x v="1"/>
    <n v="1"/>
    <x v="245"/>
    <n v="22419.294337826799"/>
    <x v="0"/>
    <s v="Unique"/>
    <n v="3244.7056621732008"/>
    <s v="Sale"/>
  </r>
  <r>
    <x v="140"/>
    <x v="1"/>
    <n v="2026"/>
    <x v="3"/>
    <x v="0"/>
    <x v="2"/>
    <x v="4"/>
    <n v="10"/>
    <x v="246"/>
    <n v="32479.4910411399"/>
    <x v="0"/>
    <s v="Unique"/>
    <n v="31770.5089588601"/>
    <s v="Sale"/>
  </r>
  <r>
    <x v="126"/>
    <x v="1"/>
    <n v="2026"/>
    <x v="6"/>
    <x v="0"/>
    <x v="3"/>
    <x v="2"/>
    <n v="7"/>
    <x v="247"/>
    <n v="39177.226118239203"/>
    <x v="0"/>
    <s v="Unique"/>
    <n v="12629.773881760797"/>
    <s v="Sale"/>
  </r>
  <r>
    <x v="141"/>
    <x v="6"/>
    <n v="2026"/>
    <x v="2"/>
    <x v="0"/>
    <x v="1"/>
    <x v="1"/>
    <n v="6"/>
    <x v="248"/>
    <n v="121672.04237308999"/>
    <x v="0"/>
    <s v="Unique"/>
    <n v="43963.957626910007"/>
    <s v="Sale"/>
  </r>
  <r>
    <x v="64"/>
    <x v="5"/>
    <n v="2026"/>
    <x v="2"/>
    <x v="0"/>
    <x v="1"/>
    <x v="4"/>
    <n v="4"/>
    <x v="249"/>
    <n v="26617.443713233399"/>
    <x v="0"/>
    <s v="Unique"/>
    <n v="3982.5562867666013"/>
    <s v="Sale"/>
  </r>
  <r>
    <x v="142"/>
    <x v="0"/>
    <n v="2026"/>
    <x v="1"/>
    <x v="0"/>
    <x v="2"/>
    <x v="5"/>
    <n v="3"/>
    <x v="250"/>
    <n v="72612.926980872799"/>
    <x v="0"/>
    <s v="Unique"/>
    <n v="71306.073019127201"/>
    <s v="Sale"/>
  </r>
  <r>
    <x v="143"/>
    <x v="3"/>
    <n v="2026"/>
    <x v="4"/>
    <x v="1"/>
    <x v="0"/>
    <x v="5"/>
    <n v="2"/>
    <x v="251"/>
    <n v="4974.3986049907398"/>
    <x v="0"/>
    <s v="Unique"/>
    <n v="2871.6013950092602"/>
    <s v="Sale"/>
  </r>
  <r>
    <x v="113"/>
    <x v="4"/>
    <n v="2026"/>
    <x v="6"/>
    <x v="0"/>
    <x v="0"/>
    <x v="4"/>
    <n v="8"/>
    <x v="252"/>
    <n v="177511.43489232799"/>
    <x v="0"/>
    <s v="Unique"/>
    <n v="135696.56510767201"/>
    <s v="Sale"/>
  </r>
  <r>
    <x v="132"/>
    <x v="0"/>
    <n v="2026"/>
    <x v="6"/>
    <x v="0"/>
    <x v="2"/>
    <x v="4"/>
    <n v="1"/>
    <x v="253"/>
    <n v="9344.5452231169602"/>
    <x v="0"/>
    <s v="Unique"/>
    <n v="8681.4547768830398"/>
    <s v="Sale"/>
  </r>
  <r>
    <x v="144"/>
    <x v="6"/>
    <n v="2026"/>
    <x v="0"/>
    <x v="0"/>
    <x v="3"/>
    <x v="0"/>
    <n v="6"/>
    <x v="254"/>
    <n v="73062.019331085598"/>
    <x v="0"/>
    <s v="Unique"/>
    <n v="36557.980668914402"/>
    <s v="Sale"/>
  </r>
  <r>
    <x v="145"/>
    <x v="0"/>
    <n v="2026"/>
    <x v="0"/>
    <x v="0"/>
    <x v="2"/>
    <x v="0"/>
    <n v="4"/>
    <x v="255"/>
    <n v="127818.956388751"/>
    <x v="0"/>
    <s v="Unique"/>
    <n v="15385.043611248999"/>
    <s v="Sale"/>
  </r>
  <r>
    <x v="96"/>
    <x v="5"/>
    <n v="2026"/>
    <x v="1"/>
    <x v="0"/>
    <x v="3"/>
    <x v="4"/>
    <n v="6"/>
    <x v="256"/>
    <n v="56056.097324470902"/>
    <x v="0"/>
    <s v="Unique"/>
    <n v="34849.902675529098"/>
    <s v="Sale"/>
  </r>
  <r>
    <x v="25"/>
    <x v="1"/>
    <n v="2026"/>
    <x v="2"/>
    <x v="0"/>
    <x v="1"/>
    <x v="5"/>
    <n v="9"/>
    <x v="257"/>
    <m/>
    <x v="1"/>
    <s v="Unique"/>
    <n v="162576"/>
    <s v="Sale"/>
  </r>
  <r>
    <x v="83"/>
    <x v="0"/>
    <n v="2026"/>
    <x v="5"/>
    <x v="1"/>
    <x v="2"/>
    <x v="5"/>
    <n v="7"/>
    <x v="258"/>
    <n v="216560.0170665"/>
    <x v="0"/>
    <s v="Unique"/>
    <n v="131045.9829335"/>
    <s v="Sale"/>
  </r>
  <r>
    <x v="115"/>
    <x v="6"/>
    <n v="2026"/>
    <x v="5"/>
    <x v="1"/>
    <x v="2"/>
    <x v="4"/>
    <n v="4"/>
    <x v="259"/>
    <n v="95957.047116564994"/>
    <x v="0"/>
    <s v="Unique"/>
    <n v="48290.952883435006"/>
    <s v="Sale"/>
  </r>
  <r>
    <x v="146"/>
    <x v="4"/>
    <n v="2026"/>
    <x v="4"/>
    <x v="1"/>
    <x v="3"/>
    <x v="4"/>
    <n v="10"/>
    <x v="260"/>
    <n v="205828.94257737801"/>
    <x v="0"/>
    <s v="Unique"/>
    <n v="186291.05742262199"/>
    <s v="Sale"/>
  </r>
  <r>
    <x v="21"/>
    <x v="5"/>
    <n v="2026"/>
    <x v="2"/>
    <x v="0"/>
    <x v="0"/>
    <x v="3"/>
    <n v="8"/>
    <x v="261"/>
    <n v="94106.053550158802"/>
    <x v="0"/>
    <s v="Unique"/>
    <n v="64469.946449841198"/>
    <s v="Sale"/>
  </r>
  <r>
    <x v="40"/>
    <x v="6"/>
    <n v="2026"/>
    <x v="4"/>
    <x v="1"/>
    <x v="3"/>
    <x v="2"/>
    <n v="6"/>
    <x v="262"/>
    <n v="94222.250127543404"/>
    <x v="0"/>
    <s v="Unique"/>
    <n v="77623.749872456596"/>
    <s v="Sale"/>
  </r>
  <r>
    <x v="76"/>
    <x v="1"/>
    <n v="2026"/>
    <x v="4"/>
    <x v="1"/>
    <x v="0"/>
    <x v="5"/>
    <n v="10"/>
    <x v="263"/>
    <n v="27208.366102105301"/>
    <x v="0"/>
    <s v="Unique"/>
    <n v="19221.633897894699"/>
    <s v="Sale"/>
  </r>
  <r>
    <x v="69"/>
    <x v="1"/>
    <n v="2026"/>
    <x v="5"/>
    <x v="1"/>
    <x v="0"/>
    <x v="0"/>
    <n v="1"/>
    <x v="264"/>
    <n v="23994.138553734501"/>
    <x v="0"/>
    <s v="Unique"/>
    <n v="4507.8614462654987"/>
    <s v="Sale"/>
  </r>
  <r>
    <x v="147"/>
    <x v="6"/>
    <n v="2026"/>
    <x v="1"/>
    <x v="0"/>
    <x v="2"/>
    <x v="0"/>
    <n v="3"/>
    <x v="265"/>
    <n v="37286.306943818701"/>
    <x v="0"/>
    <s v="Duplicate"/>
    <n v="7665.6930561812987"/>
    <s v="Sale"/>
  </r>
  <r>
    <x v="9"/>
    <x v="4"/>
    <n v="2026"/>
    <x v="1"/>
    <x v="0"/>
    <x v="2"/>
    <x v="4"/>
    <n v="4"/>
    <x v="266"/>
    <n v="120125.24438762901"/>
    <x v="0"/>
    <s v="Unique"/>
    <n v="57214.755612370995"/>
    <s v="Sale"/>
  </r>
  <r>
    <x v="100"/>
    <x v="5"/>
    <n v="2026"/>
    <x v="3"/>
    <x v="0"/>
    <x v="2"/>
    <x v="0"/>
    <n v="10"/>
    <x v="267"/>
    <m/>
    <x v="1"/>
    <s v="Unique"/>
    <n v="303870"/>
    <s v="Sale"/>
  </r>
  <r>
    <x v="148"/>
    <x v="2"/>
    <n v="2026"/>
    <x v="5"/>
    <x v="1"/>
    <x v="0"/>
    <x v="2"/>
    <n v="3"/>
    <x v="268"/>
    <n v="9551.6821045328707"/>
    <x v="0"/>
    <s v="Duplicate"/>
    <n v="3258.3178954671293"/>
    <s v="Sale"/>
  </r>
  <r>
    <x v="13"/>
    <x v="4"/>
    <n v="2026"/>
    <x v="3"/>
    <x v="0"/>
    <x v="1"/>
    <x v="2"/>
    <n v="4"/>
    <x v="269"/>
    <n v="150675.72864924799"/>
    <x v="0"/>
    <s v="Unique"/>
    <n v="25788.271350752009"/>
    <s v="Sale"/>
  </r>
  <r>
    <x v="86"/>
    <x v="6"/>
    <n v="2026"/>
    <x v="5"/>
    <x v="1"/>
    <x v="3"/>
    <x v="1"/>
    <n v="8"/>
    <x v="270"/>
    <n v="169872.224158155"/>
    <x v="0"/>
    <s v="Unique"/>
    <n v="26495.775841844996"/>
    <s v="Sale"/>
  </r>
  <r>
    <x v="149"/>
    <x v="5"/>
    <n v="2026"/>
    <x v="2"/>
    <x v="0"/>
    <x v="0"/>
    <x v="4"/>
    <n v="8"/>
    <x v="271"/>
    <n v="188756.34377431899"/>
    <x v="0"/>
    <s v="Unique"/>
    <n v="104811.65622568101"/>
    <s v="Sale"/>
  </r>
  <r>
    <x v="134"/>
    <x v="5"/>
    <n v="2026"/>
    <x v="2"/>
    <x v="0"/>
    <x v="2"/>
    <x v="0"/>
    <n v="10"/>
    <x v="272"/>
    <n v="176239.644967945"/>
    <x v="0"/>
    <s v="Unique"/>
    <n v="98310.355032054998"/>
    <s v="Sale"/>
  </r>
  <r>
    <x v="150"/>
    <x v="0"/>
    <n v="2026"/>
    <x v="5"/>
    <x v="1"/>
    <x v="2"/>
    <x v="5"/>
    <n v="6"/>
    <x v="273"/>
    <n v="170628.450932131"/>
    <x v="0"/>
    <s v="Unique"/>
    <n v="64577.549067868997"/>
    <s v="Sale"/>
  </r>
  <r>
    <x v="151"/>
    <x v="4"/>
    <n v="2026"/>
    <x v="1"/>
    <x v="0"/>
    <x v="2"/>
    <x v="4"/>
    <n v="4"/>
    <x v="274"/>
    <m/>
    <x v="1"/>
    <s v="Unique"/>
    <n v="165720"/>
    <s v="Sale"/>
  </r>
  <r>
    <x v="152"/>
    <x v="2"/>
    <n v="2026"/>
    <x v="4"/>
    <x v="1"/>
    <x v="0"/>
    <x v="4"/>
    <n v="1"/>
    <x v="275"/>
    <n v="8580.6380660261293"/>
    <x v="0"/>
    <s v="Unique"/>
    <n v="3099.3619339738707"/>
    <s v="Sale"/>
  </r>
  <r>
    <x v="140"/>
    <x v="1"/>
    <n v="2026"/>
    <x v="0"/>
    <x v="0"/>
    <x v="3"/>
    <x v="1"/>
    <n v="2"/>
    <x v="276"/>
    <n v="29863.4100304159"/>
    <x v="0"/>
    <s v="Unique"/>
    <n v="18248.5899695841"/>
    <s v="Sale"/>
  </r>
  <r>
    <x v="0"/>
    <x v="0"/>
    <n v="2026"/>
    <x v="4"/>
    <x v="1"/>
    <x v="0"/>
    <x v="0"/>
    <n v="10"/>
    <x v="277"/>
    <n v="87874.120012055399"/>
    <x v="0"/>
    <s v="Unique"/>
    <n v="47035.879987944601"/>
    <s v="Sale"/>
  </r>
  <r>
    <x v="99"/>
    <x v="6"/>
    <n v="2026"/>
    <x v="3"/>
    <x v="0"/>
    <x v="2"/>
    <x v="0"/>
    <n v="10"/>
    <x v="278"/>
    <n v="198467.62959207501"/>
    <x v="0"/>
    <s v="Unique"/>
    <n v="30072.370407924987"/>
    <s v="Sale"/>
  </r>
  <r>
    <x v="153"/>
    <x v="3"/>
    <n v="2026"/>
    <x v="0"/>
    <x v="0"/>
    <x v="2"/>
    <x v="0"/>
    <n v="6"/>
    <x v="279"/>
    <n v="78059.806686875003"/>
    <x v="0"/>
    <s v="Unique"/>
    <n v="59574.193313124997"/>
    <s v="Sale"/>
  </r>
  <r>
    <x v="0"/>
    <x v="0"/>
    <n v="2026"/>
    <x v="1"/>
    <x v="0"/>
    <x v="0"/>
    <x v="0"/>
    <n v="4"/>
    <x v="280"/>
    <n v="99998.484854570197"/>
    <x v="0"/>
    <s v="Unique"/>
    <n v="-289706.48485457018"/>
    <s v="Return"/>
  </r>
  <r>
    <x v="10"/>
    <x v="1"/>
    <n v="2026"/>
    <x v="4"/>
    <x v="1"/>
    <x v="3"/>
    <x v="2"/>
    <n v="7"/>
    <x v="281"/>
    <n v="125812.197345462"/>
    <x v="0"/>
    <s v="Unique"/>
    <n v="49313.802654537998"/>
    <s v="Sale"/>
  </r>
  <r>
    <x v="67"/>
    <x v="0"/>
    <n v="2026"/>
    <x v="3"/>
    <x v="0"/>
    <x v="2"/>
    <x v="4"/>
    <n v="5"/>
    <x v="282"/>
    <n v="10400.593099752599"/>
    <x v="0"/>
    <s v="Unique"/>
    <n v="6174.4069002474007"/>
    <s v="Sale"/>
  </r>
  <r>
    <x v="154"/>
    <x v="9"/>
    <n v="2026"/>
    <x v="1"/>
    <x v="0"/>
    <x v="2"/>
    <x v="3"/>
    <n v="10"/>
    <x v="283"/>
    <n v="361905.17151307198"/>
    <x v="0"/>
    <s v="Unique"/>
    <n v="60244.828486928018"/>
    <s v="Sale"/>
  </r>
  <r>
    <x v="6"/>
    <x v="0"/>
    <n v="2026"/>
    <x v="1"/>
    <x v="0"/>
    <x v="0"/>
    <x v="0"/>
    <n v="4"/>
    <x v="284"/>
    <n v="89795.365435416999"/>
    <x v="0"/>
    <s v="Unique"/>
    <n v="25492.634564583001"/>
    <s v="Sale"/>
  </r>
  <r>
    <x v="96"/>
    <x v="5"/>
    <n v="2026"/>
    <x v="3"/>
    <x v="0"/>
    <x v="3"/>
    <x v="0"/>
    <n v="1"/>
    <x v="285"/>
    <n v="12862.6431917721"/>
    <x v="0"/>
    <s v="Unique"/>
    <n v="12784.3568082279"/>
    <s v="Sale"/>
  </r>
  <r>
    <x v="134"/>
    <x v="5"/>
    <n v="2026"/>
    <x v="1"/>
    <x v="0"/>
    <x v="1"/>
    <x v="0"/>
    <n v="5"/>
    <x v="286"/>
    <n v="25401.984256531799"/>
    <x v="0"/>
    <s v="Unique"/>
    <n v="11443.015743468201"/>
    <s v="Sale"/>
  </r>
  <r>
    <x v="92"/>
    <x v="0"/>
    <n v="2026"/>
    <x v="3"/>
    <x v="0"/>
    <x v="1"/>
    <x v="3"/>
    <n v="7"/>
    <x v="20"/>
    <n v="105423.92645346301"/>
    <x v="1"/>
    <s v="Unique"/>
    <n v="-105423.92645346301"/>
    <s v="Sale"/>
  </r>
  <r>
    <x v="155"/>
    <x v="5"/>
    <n v="2026"/>
    <x v="0"/>
    <x v="0"/>
    <x v="2"/>
    <x v="4"/>
    <n v="6"/>
    <x v="287"/>
    <n v="149694.90167094301"/>
    <x v="0"/>
    <s v="Unique"/>
    <n v="75209.098329056986"/>
    <s v="Sale"/>
  </r>
  <r>
    <x v="128"/>
    <x v="1"/>
    <n v="2026"/>
    <x v="6"/>
    <x v="0"/>
    <x v="3"/>
    <x v="1"/>
    <n v="4"/>
    <x v="288"/>
    <n v="82304.761990955507"/>
    <x v="0"/>
    <s v="Unique"/>
    <n v="50543.238009044493"/>
    <s v="Sale"/>
  </r>
  <r>
    <x v="16"/>
    <x v="4"/>
    <n v="2026"/>
    <x v="0"/>
    <x v="0"/>
    <x v="1"/>
    <x v="4"/>
    <n v="8"/>
    <x v="289"/>
    <n v="93796.129623309098"/>
    <x v="0"/>
    <s v="Unique"/>
    <n v="12835.870376690902"/>
    <s v="Sale"/>
  </r>
  <r>
    <x v="90"/>
    <x v="6"/>
    <n v="2026"/>
    <x v="3"/>
    <x v="0"/>
    <x v="1"/>
    <x v="5"/>
    <n v="3"/>
    <x v="290"/>
    <n v="74182.580520502597"/>
    <x v="0"/>
    <s v="Unique"/>
    <n v="48808.419479497403"/>
    <s v="Sale"/>
  </r>
  <r>
    <x v="128"/>
    <x v="1"/>
    <n v="2026"/>
    <x v="2"/>
    <x v="0"/>
    <x v="0"/>
    <x v="1"/>
    <n v="8"/>
    <x v="291"/>
    <n v="18312.6633443393"/>
    <x v="0"/>
    <s v="Unique"/>
    <n v="4167.3366556606998"/>
    <s v="Sale"/>
  </r>
  <r>
    <x v="73"/>
    <x v="1"/>
    <n v="2026"/>
    <x v="6"/>
    <x v="0"/>
    <x v="2"/>
    <x v="4"/>
    <n v="10"/>
    <x v="292"/>
    <n v="70176.223368035193"/>
    <x v="0"/>
    <s v="Unique"/>
    <n v="16003.776631964807"/>
    <s v="Sale"/>
  </r>
  <r>
    <x v="156"/>
    <x v="5"/>
    <n v="2026"/>
    <x v="6"/>
    <x v="0"/>
    <x v="3"/>
    <x v="4"/>
    <n v="3"/>
    <x v="293"/>
    <n v="39768.569871113599"/>
    <x v="0"/>
    <s v="Unique"/>
    <n v="20378.430128886401"/>
    <s v="Sale"/>
  </r>
  <r>
    <x v="126"/>
    <x v="1"/>
    <n v="2026"/>
    <x v="4"/>
    <x v="1"/>
    <x v="2"/>
    <x v="5"/>
    <n v="8"/>
    <x v="20"/>
    <n v="134668.67753437001"/>
    <x v="1"/>
    <s v="Unique"/>
    <n v="-134668.67753437001"/>
    <s v="Sale"/>
  </r>
  <r>
    <x v="18"/>
    <x v="5"/>
    <n v="2026"/>
    <x v="0"/>
    <x v="0"/>
    <x v="2"/>
    <x v="0"/>
    <n v="3"/>
    <x v="294"/>
    <n v="57897.321310193998"/>
    <x v="0"/>
    <s v="Unique"/>
    <n v="7178.6786898060018"/>
    <s v="Sale"/>
  </r>
  <r>
    <x v="73"/>
    <x v="1"/>
    <n v="2026"/>
    <x v="3"/>
    <x v="0"/>
    <x v="1"/>
    <x v="2"/>
    <n v="8"/>
    <x v="295"/>
    <n v="242877.143696816"/>
    <x v="0"/>
    <s v="Unique"/>
    <n v="43914.856303184002"/>
    <s v="Sale"/>
  </r>
  <r>
    <x v="64"/>
    <x v="5"/>
    <n v="2026"/>
    <x v="2"/>
    <x v="0"/>
    <x v="2"/>
    <x v="0"/>
    <n v="4"/>
    <x v="296"/>
    <n v="50601.671315971398"/>
    <x v="0"/>
    <s v="Unique"/>
    <n v="10014.328684028602"/>
    <s v="Sale"/>
  </r>
  <r>
    <x v="65"/>
    <x v="0"/>
    <n v="2026"/>
    <x v="5"/>
    <x v="1"/>
    <x v="3"/>
    <x v="1"/>
    <n v="7"/>
    <x v="297"/>
    <n v="265544.37467861298"/>
    <x v="0"/>
    <s v="Unique"/>
    <n v="39949.625321387022"/>
    <s v="Sale"/>
  </r>
  <r>
    <x v="79"/>
    <x v="1"/>
    <n v="2026"/>
    <x v="2"/>
    <x v="0"/>
    <x v="3"/>
    <x v="1"/>
    <n v="9"/>
    <x v="298"/>
    <n v="143029.00593014099"/>
    <x v="0"/>
    <s v="Duplicate"/>
    <n v="81259.994069859007"/>
    <s v="Sale"/>
  </r>
  <r>
    <x v="106"/>
    <x v="6"/>
    <n v="2026"/>
    <x v="4"/>
    <x v="1"/>
    <x v="1"/>
    <x v="0"/>
    <n v="4"/>
    <x v="299"/>
    <n v="108178.008416747"/>
    <x v="0"/>
    <s v="Unique"/>
    <n v="77473.991583252995"/>
    <s v="Sale"/>
  </r>
  <r>
    <x v="157"/>
    <x v="0"/>
    <n v="2026"/>
    <x v="4"/>
    <x v="1"/>
    <x v="1"/>
    <x v="1"/>
    <n v="1"/>
    <x v="300"/>
    <n v="10014.3337259335"/>
    <x v="0"/>
    <s v="Unique"/>
    <n v="6649.6662740664997"/>
    <s v="Sale"/>
  </r>
  <r>
    <x v="11"/>
    <x v="0"/>
    <n v="2026"/>
    <x v="2"/>
    <x v="0"/>
    <x v="0"/>
    <x v="2"/>
    <n v="5"/>
    <x v="301"/>
    <n v="55964.355305209203"/>
    <x v="0"/>
    <s v="Unique"/>
    <n v="25535.644694790797"/>
    <s v="Sale"/>
  </r>
  <r>
    <x v="147"/>
    <x v="6"/>
    <n v="2026"/>
    <x v="0"/>
    <x v="0"/>
    <x v="0"/>
    <x v="1"/>
    <n v="10"/>
    <x v="302"/>
    <n v="256962.47462696701"/>
    <x v="0"/>
    <s v="Unique"/>
    <n v="162177.52537303299"/>
    <s v="Sale"/>
  </r>
  <r>
    <x v="158"/>
    <x v="5"/>
    <n v="2026"/>
    <x v="5"/>
    <x v="1"/>
    <x v="0"/>
    <x v="0"/>
    <n v="3"/>
    <x v="303"/>
    <n v="86829.055217386005"/>
    <x v="0"/>
    <s v="Unique"/>
    <n v="20873.944782613995"/>
    <s v="Sale"/>
  </r>
  <r>
    <x v="159"/>
    <x v="0"/>
    <n v="2026"/>
    <x v="4"/>
    <x v="1"/>
    <x v="2"/>
    <x v="5"/>
    <n v="8"/>
    <x v="304"/>
    <n v="103230.266561282"/>
    <x v="0"/>
    <s v="Unique"/>
    <n v="67745.733438718002"/>
    <s v="Sale"/>
  </r>
  <r>
    <x v="16"/>
    <x v="4"/>
    <n v="2026"/>
    <x v="0"/>
    <x v="0"/>
    <x v="1"/>
    <x v="5"/>
    <n v="9"/>
    <x v="305"/>
    <n v="321096.98781986098"/>
    <x v="0"/>
    <s v="Duplicate"/>
    <n v="73391.01218013902"/>
    <s v="Sale"/>
  </r>
  <r>
    <x v="87"/>
    <x v="2"/>
    <n v="2026"/>
    <x v="4"/>
    <x v="1"/>
    <x v="0"/>
    <x v="4"/>
    <n v="8"/>
    <x v="306"/>
    <n v="66155.8456641636"/>
    <x v="0"/>
    <s v="Unique"/>
    <n v="16916.1543358364"/>
    <s v="Sale"/>
  </r>
  <r>
    <x v="157"/>
    <x v="0"/>
    <n v="2026"/>
    <x v="4"/>
    <x v="1"/>
    <x v="0"/>
    <x v="0"/>
    <n v="5"/>
    <x v="307"/>
    <n v="120475.60190057001"/>
    <x v="0"/>
    <s v="Unique"/>
    <n v="27304.398099429993"/>
    <s v="Sale"/>
  </r>
  <r>
    <x v="120"/>
    <x v="6"/>
    <n v="2026"/>
    <x v="6"/>
    <x v="0"/>
    <x v="2"/>
    <x v="2"/>
    <n v="4"/>
    <x v="308"/>
    <n v="76269.159677100804"/>
    <x v="0"/>
    <s v="Unique"/>
    <n v="62926.840322899196"/>
    <s v="Sale"/>
  </r>
  <r>
    <x v="160"/>
    <x v="3"/>
    <n v="2026"/>
    <x v="4"/>
    <x v="1"/>
    <x v="0"/>
    <x v="2"/>
    <n v="10"/>
    <x v="309"/>
    <n v="178260.24383843399"/>
    <x v="0"/>
    <s v="Unique"/>
    <n v="141609.75616156601"/>
    <s v="Sale"/>
  </r>
  <r>
    <x v="43"/>
    <x v="5"/>
    <n v="2026"/>
    <x v="0"/>
    <x v="0"/>
    <x v="2"/>
    <x v="4"/>
    <n v="8"/>
    <x v="310"/>
    <n v="93050.2198050445"/>
    <x v="0"/>
    <s v="Unique"/>
    <n v="66349.7801949555"/>
    <s v="Sale"/>
  </r>
  <r>
    <x v="161"/>
    <x v="6"/>
    <n v="2026"/>
    <x v="3"/>
    <x v="0"/>
    <x v="3"/>
    <x v="2"/>
    <n v="7"/>
    <x v="20"/>
    <n v="152226.397002118"/>
    <x v="1"/>
    <s v="Unique"/>
    <n v="-152226.397002118"/>
    <s v="Sale"/>
  </r>
  <r>
    <x v="119"/>
    <x v="6"/>
    <n v="2026"/>
    <x v="6"/>
    <x v="0"/>
    <x v="1"/>
    <x v="4"/>
    <n v="1"/>
    <x v="311"/>
    <n v="34173.516634454703"/>
    <x v="0"/>
    <s v="Unique"/>
    <n v="8896.4833655452967"/>
    <s v="Sale"/>
  </r>
  <r>
    <x v="147"/>
    <x v="6"/>
    <n v="2026"/>
    <x v="4"/>
    <x v="1"/>
    <x v="2"/>
    <x v="4"/>
    <n v="5"/>
    <x v="312"/>
    <n v="71850.204407489393"/>
    <x v="0"/>
    <s v="Unique"/>
    <n v="33444.795592510607"/>
    <s v="Sale"/>
  </r>
  <r>
    <x v="93"/>
    <x v="0"/>
    <n v="2026"/>
    <x v="3"/>
    <x v="0"/>
    <x v="0"/>
    <x v="0"/>
    <n v="3"/>
    <x v="313"/>
    <n v="43306.597093313598"/>
    <x v="0"/>
    <s v="Duplicate"/>
    <n v="42001.402906686402"/>
    <s v="Sale"/>
  </r>
  <r>
    <x v="162"/>
    <x v="6"/>
    <n v="2026"/>
    <x v="5"/>
    <x v="1"/>
    <x v="2"/>
    <x v="2"/>
    <n v="5"/>
    <x v="314"/>
    <m/>
    <x v="1"/>
    <s v="Unique"/>
    <n v="185220"/>
    <s v="Sale"/>
  </r>
  <r>
    <x v="150"/>
    <x v="0"/>
    <n v="2026"/>
    <x v="1"/>
    <x v="0"/>
    <x v="3"/>
    <x v="2"/>
    <n v="7"/>
    <x v="315"/>
    <n v="50822.113449456701"/>
    <x v="0"/>
    <s v="Unique"/>
    <n v="19870.886550543299"/>
    <s v="Sale"/>
  </r>
  <r>
    <x v="15"/>
    <x v="7"/>
    <n v="2026"/>
    <x v="3"/>
    <x v="0"/>
    <x v="2"/>
    <x v="5"/>
    <n v="9"/>
    <x v="316"/>
    <n v="132771.62382672599"/>
    <x v="0"/>
    <s v="Unique"/>
    <n v="44465.376173274009"/>
    <s v="Sale"/>
  </r>
  <r>
    <x v="131"/>
    <x v="4"/>
    <n v="2026"/>
    <x v="1"/>
    <x v="0"/>
    <x v="2"/>
    <x v="2"/>
    <n v="4"/>
    <x v="317"/>
    <n v="97216.714436448005"/>
    <x v="0"/>
    <s v="Unique"/>
    <n v="70427.285563551995"/>
    <s v="Sale"/>
  </r>
  <r>
    <x v="65"/>
    <x v="0"/>
    <n v="2026"/>
    <x v="6"/>
    <x v="0"/>
    <x v="3"/>
    <x v="0"/>
    <n v="8"/>
    <x v="20"/>
    <n v="112423.365198345"/>
    <x v="1"/>
    <s v="Unique"/>
    <n v="-112423.365198345"/>
    <s v="Sale"/>
  </r>
  <r>
    <x v="16"/>
    <x v="4"/>
    <n v="2026"/>
    <x v="1"/>
    <x v="0"/>
    <x v="2"/>
    <x v="5"/>
    <n v="2"/>
    <x v="318"/>
    <n v="28445.3612621955"/>
    <x v="0"/>
    <s v="Unique"/>
    <n v="9094.6387378045001"/>
    <s v="Sale"/>
  </r>
  <r>
    <x v="163"/>
    <x v="6"/>
    <n v="2026"/>
    <x v="4"/>
    <x v="1"/>
    <x v="2"/>
    <x v="3"/>
    <n v="6"/>
    <x v="319"/>
    <n v="173843.039572651"/>
    <x v="0"/>
    <s v="Unique"/>
    <n v="104268.960427349"/>
    <s v="Sale"/>
  </r>
  <r>
    <x v="164"/>
    <x v="11"/>
    <n v="2026"/>
    <x v="4"/>
    <x v="1"/>
    <x v="1"/>
    <x v="3"/>
    <n v="6"/>
    <x v="320"/>
    <n v="162396.87805468001"/>
    <x v="0"/>
    <s v="Unique"/>
    <n v="21719.121945319988"/>
    <s v="Sale"/>
  </r>
  <r>
    <x v="91"/>
    <x v="5"/>
    <n v="2026"/>
    <x v="3"/>
    <x v="0"/>
    <x v="3"/>
    <x v="2"/>
    <n v="5"/>
    <x v="321"/>
    <n v="105833.31703383601"/>
    <x v="0"/>
    <s v="Unique"/>
    <n v="30556.682966163993"/>
    <s v="Sale"/>
  </r>
  <r>
    <x v="165"/>
    <x v="11"/>
    <n v="2026"/>
    <x v="0"/>
    <x v="0"/>
    <x v="2"/>
    <x v="0"/>
    <n v="2"/>
    <x v="322"/>
    <n v="50596.911953495197"/>
    <x v="0"/>
    <s v="Unique"/>
    <n v="7931.0880465048031"/>
    <s v="Sale"/>
  </r>
  <r>
    <x v="111"/>
    <x v="0"/>
    <n v="2026"/>
    <x v="1"/>
    <x v="0"/>
    <x v="1"/>
    <x v="2"/>
    <n v="8"/>
    <x v="323"/>
    <n v="64305.665656721198"/>
    <x v="0"/>
    <s v="Unique"/>
    <n v="10902.334343278802"/>
    <s v="Sale"/>
  </r>
  <r>
    <x v="119"/>
    <x v="6"/>
    <n v="2026"/>
    <x v="2"/>
    <x v="0"/>
    <x v="1"/>
    <x v="5"/>
    <n v="6"/>
    <x v="324"/>
    <n v="153276.96784420201"/>
    <x v="0"/>
    <s v="Unique"/>
    <n v="62837.032155797991"/>
    <s v="Sale"/>
  </r>
  <r>
    <x v="134"/>
    <x v="5"/>
    <n v="2026"/>
    <x v="0"/>
    <x v="0"/>
    <x v="3"/>
    <x v="0"/>
    <n v="9"/>
    <x v="325"/>
    <n v="198034.701770899"/>
    <x v="0"/>
    <s v="Unique"/>
    <n v="181468.298229101"/>
    <s v="Sale"/>
  </r>
  <r>
    <x v="151"/>
    <x v="4"/>
    <n v="2026"/>
    <x v="3"/>
    <x v="0"/>
    <x v="0"/>
    <x v="0"/>
    <n v="6"/>
    <x v="326"/>
    <n v="63131.507049977801"/>
    <x v="0"/>
    <s v="Unique"/>
    <n v="58242.492950022199"/>
    <s v="Sale"/>
  </r>
  <r>
    <x v="19"/>
    <x v="2"/>
    <n v="2026"/>
    <x v="3"/>
    <x v="0"/>
    <x v="3"/>
    <x v="4"/>
    <n v="8"/>
    <x v="327"/>
    <n v="156851.71118963699"/>
    <x v="0"/>
    <s v="Unique"/>
    <n v="-407243.71118963696"/>
    <s v="Return"/>
  </r>
  <r>
    <x v="46"/>
    <x v="1"/>
    <n v="2026"/>
    <x v="1"/>
    <x v="0"/>
    <x v="2"/>
    <x v="1"/>
    <n v="10"/>
    <x v="328"/>
    <n v="272247.412814943"/>
    <x v="0"/>
    <s v="Unique"/>
    <n v="165562.587185057"/>
    <s v="Sale"/>
  </r>
  <r>
    <x v="91"/>
    <x v="5"/>
    <n v="2026"/>
    <x v="4"/>
    <x v="1"/>
    <x v="3"/>
    <x v="3"/>
    <n v="9"/>
    <x v="329"/>
    <n v="283815.06578930398"/>
    <x v="0"/>
    <s v="Unique"/>
    <n v="99728.934210696025"/>
    <s v="Sale"/>
  </r>
  <r>
    <x v="166"/>
    <x v="6"/>
    <n v="2026"/>
    <x v="5"/>
    <x v="1"/>
    <x v="0"/>
    <x v="5"/>
    <n v="5"/>
    <x v="330"/>
    <m/>
    <x v="1"/>
    <s v="Unique"/>
    <n v="189465"/>
    <s v="Sale"/>
  </r>
  <r>
    <x v="130"/>
    <x v="2"/>
    <n v="2026"/>
    <x v="3"/>
    <x v="0"/>
    <x v="2"/>
    <x v="3"/>
    <n v="10"/>
    <x v="331"/>
    <n v="85326.826081953797"/>
    <x v="0"/>
    <s v="Unique"/>
    <n v="63063.173918046203"/>
    <s v="Sale"/>
  </r>
  <r>
    <x v="167"/>
    <x v="2"/>
    <n v="2026"/>
    <x v="3"/>
    <x v="0"/>
    <x v="2"/>
    <x v="5"/>
    <n v="10"/>
    <x v="332"/>
    <n v="81492.450497580299"/>
    <x v="0"/>
    <s v="Unique"/>
    <n v="19257.549502419701"/>
    <s v="Sale"/>
  </r>
  <r>
    <x v="26"/>
    <x v="2"/>
    <n v="2026"/>
    <x v="0"/>
    <x v="0"/>
    <x v="2"/>
    <x v="1"/>
    <n v="7"/>
    <x v="333"/>
    <n v="195767.24440229699"/>
    <x v="0"/>
    <s v="Unique"/>
    <n v="86654.755597703013"/>
    <s v="Sale"/>
  </r>
  <r>
    <x v="146"/>
    <x v="4"/>
    <n v="2026"/>
    <x v="2"/>
    <x v="0"/>
    <x v="1"/>
    <x v="4"/>
    <n v="7"/>
    <x v="334"/>
    <n v="233640.31787383699"/>
    <x v="0"/>
    <s v="Unique"/>
    <n v="81996.68212616301"/>
    <s v="Sale"/>
  </r>
  <r>
    <x v="6"/>
    <x v="0"/>
    <n v="2026"/>
    <x v="5"/>
    <x v="1"/>
    <x v="3"/>
    <x v="3"/>
    <n v="5"/>
    <x v="335"/>
    <n v="130179.59841935"/>
    <x v="0"/>
    <s v="Unique"/>
    <n v="28205.401580649996"/>
    <s v="Sale"/>
  </r>
  <r>
    <x v="63"/>
    <x v="4"/>
    <n v="2026"/>
    <x v="2"/>
    <x v="0"/>
    <x v="0"/>
    <x v="5"/>
    <n v="9"/>
    <x v="336"/>
    <n v="229553.41736824601"/>
    <x v="0"/>
    <s v="Unique"/>
    <n v="161550.58263175399"/>
    <s v="Sale"/>
  </r>
  <r>
    <x v="132"/>
    <x v="0"/>
    <n v="2026"/>
    <x v="0"/>
    <x v="0"/>
    <x v="1"/>
    <x v="1"/>
    <n v="9"/>
    <x v="337"/>
    <n v="322669.62687987002"/>
    <x v="0"/>
    <s v="Unique"/>
    <n v="104848.37312012998"/>
    <s v="Sale"/>
  </r>
  <r>
    <x v="9"/>
    <x v="4"/>
    <n v="2026"/>
    <x v="3"/>
    <x v="0"/>
    <x v="0"/>
    <x v="2"/>
    <n v="1"/>
    <x v="338"/>
    <n v="19672.619872105901"/>
    <x v="0"/>
    <s v="Unique"/>
    <n v="16584.380127894099"/>
    <s v="Sale"/>
  </r>
  <r>
    <x v="155"/>
    <x v="5"/>
    <n v="2026"/>
    <x v="5"/>
    <x v="1"/>
    <x v="0"/>
    <x v="0"/>
    <n v="1"/>
    <x v="339"/>
    <n v="38455.864821588199"/>
    <x v="0"/>
    <s v="Unique"/>
    <n v="8802.1351784118015"/>
    <s v="Sale"/>
  </r>
  <r>
    <x v="168"/>
    <x v="1"/>
    <n v="2026"/>
    <x v="2"/>
    <x v="0"/>
    <x v="1"/>
    <x v="5"/>
    <n v="9"/>
    <x v="340"/>
    <n v="147196.97697223601"/>
    <x v="0"/>
    <s v="Unique"/>
    <n v="100177.02302776399"/>
    <s v="Sale"/>
  </r>
  <r>
    <x v="142"/>
    <x v="0"/>
    <n v="2026"/>
    <x v="3"/>
    <x v="0"/>
    <x v="3"/>
    <x v="2"/>
    <n v="6"/>
    <x v="341"/>
    <n v="119482.518986589"/>
    <x v="0"/>
    <s v="Unique"/>
    <n v="109621.481013411"/>
    <s v="Sale"/>
  </r>
  <r>
    <x v="60"/>
    <x v="1"/>
    <n v="2026"/>
    <x v="0"/>
    <x v="0"/>
    <x v="0"/>
    <x v="1"/>
    <n v="9"/>
    <x v="342"/>
    <n v="216326.39422888201"/>
    <x v="0"/>
    <s v="Unique"/>
    <n v="157560.60577111799"/>
    <s v="Sale"/>
  </r>
  <r>
    <x v="157"/>
    <x v="0"/>
    <n v="2026"/>
    <x v="4"/>
    <x v="1"/>
    <x v="2"/>
    <x v="2"/>
    <n v="1"/>
    <x v="343"/>
    <n v="18399.501837389402"/>
    <x v="0"/>
    <s v="Unique"/>
    <n v="11682.498162610598"/>
    <s v="Sale"/>
  </r>
  <r>
    <x v="169"/>
    <x v="6"/>
    <n v="2026"/>
    <x v="4"/>
    <x v="1"/>
    <x v="2"/>
    <x v="0"/>
    <n v="6"/>
    <x v="344"/>
    <n v="128369.45562149701"/>
    <x v="0"/>
    <s v="Unique"/>
    <n v="118332.54437850299"/>
    <s v="Sale"/>
  </r>
  <r>
    <x v="55"/>
    <x v="4"/>
    <n v="2026"/>
    <x v="1"/>
    <x v="0"/>
    <x v="0"/>
    <x v="1"/>
    <n v="4"/>
    <x v="345"/>
    <n v="39803.229339216698"/>
    <x v="0"/>
    <s v="Unique"/>
    <n v="16396.770660783302"/>
    <s v="Sale"/>
  </r>
  <r>
    <x v="46"/>
    <x v="1"/>
    <n v="2026"/>
    <x v="4"/>
    <x v="1"/>
    <x v="1"/>
    <x v="5"/>
    <n v="6"/>
    <x v="346"/>
    <n v="91606.716607699404"/>
    <x v="0"/>
    <s v="Unique"/>
    <n v="50569.283392300596"/>
    <s v="Sale"/>
  </r>
  <r>
    <x v="110"/>
    <x v="4"/>
    <n v="2026"/>
    <x v="1"/>
    <x v="0"/>
    <x v="2"/>
    <x v="5"/>
    <n v="6"/>
    <x v="347"/>
    <n v="111622.28683164599"/>
    <x v="0"/>
    <s v="Unique"/>
    <n v="75619.713168354006"/>
    <s v="Sale"/>
  </r>
  <r>
    <x v="90"/>
    <x v="6"/>
    <n v="2026"/>
    <x v="2"/>
    <x v="0"/>
    <x v="2"/>
    <x v="2"/>
    <n v="5"/>
    <x v="20"/>
    <n v="147669.16731093699"/>
    <x v="1"/>
    <s v="Unique"/>
    <n v="-147669.16731093699"/>
    <s v="Sale"/>
  </r>
  <r>
    <x v="63"/>
    <x v="4"/>
    <n v="2026"/>
    <x v="1"/>
    <x v="0"/>
    <x v="0"/>
    <x v="5"/>
    <n v="4"/>
    <x v="348"/>
    <n v="64888.747112527897"/>
    <x v="0"/>
    <s v="Unique"/>
    <n v="27079.252887472103"/>
    <s v="Sale"/>
  </r>
  <r>
    <x v="34"/>
    <x v="4"/>
    <n v="2026"/>
    <x v="4"/>
    <x v="1"/>
    <x v="1"/>
    <x v="5"/>
    <n v="7"/>
    <x v="349"/>
    <n v="35906.236782977801"/>
    <x v="0"/>
    <s v="Unique"/>
    <n v="25763.763217022199"/>
    <s v="Sale"/>
  </r>
  <r>
    <x v="33"/>
    <x v="1"/>
    <n v="2026"/>
    <x v="0"/>
    <x v="0"/>
    <x v="1"/>
    <x v="4"/>
    <n v="8"/>
    <x v="350"/>
    <n v="247911.74108924001"/>
    <x v="0"/>
    <s v="Unique"/>
    <n v="143928.25891075999"/>
    <s v="Sale"/>
  </r>
  <r>
    <x v="75"/>
    <x v="4"/>
    <n v="2026"/>
    <x v="2"/>
    <x v="0"/>
    <x v="1"/>
    <x v="3"/>
    <n v="7"/>
    <x v="351"/>
    <n v="130653.255478197"/>
    <x v="0"/>
    <s v="Unique"/>
    <n v="61356.744521803004"/>
    <s v="Sale"/>
  </r>
  <r>
    <x v="120"/>
    <x v="6"/>
    <n v="2026"/>
    <x v="6"/>
    <x v="0"/>
    <x v="2"/>
    <x v="5"/>
    <n v="10"/>
    <x v="352"/>
    <n v="38877.177121400397"/>
    <x v="0"/>
    <s v="Unique"/>
    <n v="10942.822878599603"/>
    <s v="Sale"/>
  </r>
  <r>
    <x v="93"/>
    <x v="0"/>
    <n v="2026"/>
    <x v="2"/>
    <x v="0"/>
    <x v="3"/>
    <x v="2"/>
    <n v="7"/>
    <x v="353"/>
    <n v="162462.68745170999"/>
    <x v="0"/>
    <s v="Duplicate"/>
    <n v="154644.31254829001"/>
    <s v="Sale"/>
  </r>
  <r>
    <x v="116"/>
    <x v="4"/>
    <n v="2026"/>
    <x v="5"/>
    <x v="1"/>
    <x v="0"/>
    <x v="4"/>
    <n v="9"/>
    <x v="20"/>
    <n v="192228.317510758"/>
    <x v="1"/>
    <s v="Unique"/>
    <n v="-192228.317510758"/>
    <s v="Sale"/>
  </r>
  <r>
    <x v="13"/>
    <x v="4"/>
    <n v="2026"/>
    <x v="0"/>
    <x v="0"/>
    <x v="0"/>
    <x v="0"/>
    <n v="7"/>
    <x v="354"/>
    <n v="260847.36254870199"/>
    <x v="0"/>
    <s v="Unique"/>
    <n v="49469.637451298011"/>
    <s v="Sale"/>
  </r>
  <r>
    <x v="159"/>
    <x v="0"/>
    <n v="2026"/>
    <x v="4"/>
    <x v="1"/>
    <x v="2"/>
    <x v="1"/>
    <n v="8"/>
    <x v="355"/>
    <n v="254826.749803819"/>
    <x v="0"/>
    <s v="Unique"/>
    <n v="99165.250196181005"/>
    <s v="Sale"/>
  </r>
  <r>
    <x v="146"/>
    <x v="4"/>
    <n v="2026"/>
    <x v="4"/>
    <x v="1"/>
    <x v="1"/>
    <x v="4"/>
    <n v="5"/>
    <x v="356"/>
    <n v="112447.716977373"/>
    <x v="0"/>
    <s v="Unique"/>
    <n v="100552.283022627"/>
    <s v="Sale"/>
  </r>
  <r>
    <x v="72"/>
    <x v="0"/>
    <n v="2026"/>
    <x v="6"/>
    <x v="0"/>
    <x v="0"/>
    <x v="3"/>
    <n v="7"/>
    <x v="357"/>
    <n v="45855.070521838497"/>
    <x v="0"/>
    <s v="Unique"/>
    <n v="45501.929478161503"/>
    <s v="Sale"/>
  </r>
  <r>
    <x v="33"/>
    <x v="1"/>
    <n v="2026"/>
    <x v="0"/>
    <x v="0"/>
    <x v="0"/>
    <x v="2"/>
    <n v="8"/>
    <x v="358"/>
    <n v="160544.68993124599"/>
    <x v="0"/>
    <s v="Unique"/>
    <n v="88943.310068754014"/>
    <s v="Sale"/>
  </r>
  <r>
    <x v="55"/>
    <x v="4"/>
    <n v="2026"/>
    <x v="5"/>
    <x v="1"/>
    <x v="1"/>
    <x v="1"/>
    <n v="4"/>
    <x v="359"/>
    <n v="61096.347876356202"/>
    <x v="0"/>
    <s v="Unique"/>
    <n v="15907.652123643798"/>
    <s v="Sale"/>
  </r>
  <r>
    <x v="27"/>
    <x v="4"/>
    <n v="2026"/>
    <x v="6"/>
    <x v="0"/>
    <x v="3"/>
    <x v="1"/>
    <n v="4"/>
    <x v="360"/>
    <n v="12688.9868504194"/>
    <x v="0"/>
    <s v="Unique"/>
    <n v="4919.0131495805999"/>
    <s v="Sale"/>
  </r>
  <r>
    <x v="89"/>
    <x v="2"/>
    <n v="2026"/>
    <x v="2"/>
    <x v="0"/>
    <x v="0"/>
    <x v="0"/>
    <n v="8"/>
    <x v="361"/>
    <n v="196270.44563229001"/>
    <x v="0"/>
    <s v="Unique"/>
    <n v="82457.554367709992"/>
    <s v="Sale"/>
  </r>
  <r>
    <x v="170"/>
    <x v="0"/>
    <n v="2026"/>
    <x v="4"/>
    <x v="1"/>
    <x v="3"/>
    <x v="0"/>
    <n v="3"/>
    <x v="362"/>
    <n v="103205.774406447"/>
    <x v="0"/>
    <s v="Unique"/>
    <n v="14142.225593552997"/>
    <s v="Sale"/>
  </r>
  <r>
    <x v="49"/>
    <x v="4"/>
    <n v="2026"/>
    <x v="2"/>
    <x v="0"/>
    <x v="3"/>
    <x v="0"/>
    <n v="2"/>
    <x v="20"/>
    <n v="25035.172418869501"/>
    <x v="1"/>
    <s v="Unique"/>
    <n v="-25035.172418869501"/>
    <s v="Sale"/>
  </r>
  <r>
    <x v="137"/>
    <x v="1"/>
    <n v="2026"/>
    <x v="1"/>
    <x v="0"/>
    <x v="2"/>
    <x v="5"/>
    <n v="6"/>
    <x v="363"/>
    <n v="41094.106847895702"/>
    <x v="0"/>
    <s v="Unique"/>
    <n v="11489.893152104298"/>
    <s v="Sale"/>
  </r>
  <r>
    <x v="156"/>
    <x v="5"/>
    <n v="2026"/>
    <x v="3"/>
    <x v="0"/>
    <x v="3"/>
    <x v="3"/>
    <n v="10"/>
    <x v="364"/>
    <n v="385108.28927332797"/>
    <x v="0"/>
    <s v="Unique"/>
    <n v="63061.710726672027"/>
    <s v="Sale"/>
  </r>
  <r>
    <x v="105"/>
    <x v="2"/>
    <n v="2026"/>
    <x v="2"/>
    <x v="0"/>
    <x v="0"/>
    <x v="2"/>
    <n v="8"/>
    <x v="365"/>
    <n v="167266.22069875899"/>
    <x v="0"/>
    <s v="Unique"/>
    <n v="165509.77930124101"/>
    <s v="Sale"/>
  </r>
  <r>
    <x v="63"/>
    <x v="4"/>
    <n v="2026"/>
    <x v="4"/>
    <x v="1"/>
    <x v="1"/>
    <x v="3"/>
    <n v="10"/>
    <x v="366"/>
    <n v="405197.60519043298"/>
    <x v="0"/>
    <s v="Unique"/>
    <n v="84892.39480956702"/>
    <s v="Sale"/>
  </r>
  <r>
    <x v="81"/>
    <x v="6"/>
    <n v="2026"/>
    <x v="4"/>
    <x v="1"/>
    <x v="1"/>
    <x v="5"/>
    <n v="7"/>
    <x v="367"/>
    <n v="14516.682983765801"/>
    <x v="0"/>
    <s v="Unique"/>
    <n v="9780.3170162341994"/>
    <s v="Sale"/>
  </r>
  <r>
    <x v="171"/>
    <x v="11"/>
    <n v="2026"/>
    <x v="6"/>
    <x v="0"/>
    <x v="1"/>
    <x v="4"/>
    <n v="3"/>
    <x v="368"/>
    <n v="49336.268432577301"/>
    <x v="0"/>
    <s v="Unique"/>
    <n v="7438.7315674226993"/>
    <s v="Sale"/>
  </r>
  <r>
    <x v="0"/>
    <x v="0"/>
    <n v="2026"/>
    <x v="0"/>
    <x v="0"/>
    <x v="0"/>
    <x v="4"/>
    <n v="4"/>
    <x v="369"/>
    <n v="93384.737886391697"/>
    <x v="0"/>
    <s v="Unique"/>
    <n v="32367.262113608303"/>
    <s v="Sale"/>
  </r>
  <r>
    <x v="172"/>
    <x v="1"/>
    <n v="2026"/>
    <x v="2"/>
    <x v="0"/>
    <x v="1"/>
    <x v="1"/>
    <n v="9"/>
    <x v="370"/>
    <n v="98681.936761124001"/>
    <x v="0"/>
    <s v="Unique"/>
    <n v="75333.063238875999"/>
    <s v="Sale"/>
  </r>
  <r>
    <x v="22"/>
    <x v="6"/>
    <n v="2026"/>
    <x v="1"/>
    <x v="0"/>
    <x v="2"/>
    <x v="0"/>
    <n v="9"/>
    <x v="371"/>
    <n v="244099.42411324501"/>
    <x v="0"/>
    <s v="Unique"/>
    <n v="71377.575886754988"/>
    <s v="Sale"/>
  </r>
  <r>
    <x v="170"/>
    <x v="0"/>
    <n v="2026"/>
    <x v="6"/>
    <x v="0"/>
    <x v="2"/>
    <x v="4"/>
    <n v="8"/>
    <x v="372"/>
    <n v="199708.18520978501"/>
    <x v="0"/>
    <s v="Unique"/>
    <n v="161995.81479021499"/>
    <s v="Sale"/>
  </r>
  <r>
    <x v="36"/>
    <x v="0"/>
    <n v="2026"/>
    <x v="5"/>
    <x v="1"/>
    <x v="2"/>
    <x v="5"/>
    <n v="9"/>
    <x v="373"/>
    <n v="160381.04454750899"/>
    <x v="0"/>
    <s v="Unique"/>
    <n v="110626.95545249101"/>
    <s v="Sale"/>
  </r>
  <r>
    <x v="135"/>
    <x v="4"/>
    <n v="2026"/>
    <x v="2"/>
    <x v="0"/>
    <x v="2"/>
    <x v="2"/>
    <n v="3"/>
    <x v="374"/>
    <n v="38715.597968693699"/>
    <x v="0"/>
    <s v="Unique"/>
    <n v="17324.402031306301"/>
    <s v="Sale"/>
  </r>
  <r>
    <x v="116"/>
    <x v="4"/>
    <n v="2026"/>
    <x v="0"/>
    <x v="0"/>
    <x v="2"/>
    <x v="1"/>
    <n v="9"/>
    <x v="375"/>
    <n v="61940.248783831099"/>
    <x v="0"/>
    <s v="Unique"/>
    <n v="25557.751216168901"/>
    <s v="Sale"/>
  </r>
  <r>
    <x v="30"/>
    <x v="1"/>
    <n v="2026"/>
    <x v="0"/>
    <x v="0"/>
    <x v="0"/>
    <x v="3"/>
    <n v="9"/>
    <x v="376"/>
    <n v="194403.44495439299"/>
    <x v="0"/>
    <s v="Unique"/>
    <n v="73418.555045607005"/>
    <s v="Sale"/>
  </r>
  <r>
    <x v="173"/>
    <x v="2"/>
    <n v="2026"/>
    <x v="3"/>
    <x v="0"/>
    <x v="1"/>
    <x v="3"/>
    <n v="9"/>
    <x v="377"/>
    <n v="239462.791947227"/>
    <x v="0"/>
    <s v="Unique"/>
    <n v="105831.208052773"/>
    <s v="Sale"/>
  </r>
  <r>
    <x v="126"/>
    <x v="1"/>
    <n v="2026"/>
    <x v="0"/>
    <x v="0"/>
    <x v="2"/>
    <x v="5"/>
    <n v="4"/>
    <x v="378"/>
    <n v="101714.016563964"/>
    <x v="0"/>
    <s v="Unique"/>
    <n v="23357.983436035996"/>
    <s v="Sale"/>
  </r>
  <r>
    <x v="174"/>
    <x v="5"/>
    <n v="2026"/>
    <x v="0"/>
    <x v="0"/>
    <x v="2"/>
    <x v="0"/>
    <n v="7"/>
    <x v="379"/>
    <n v="153498.94712603901"/>
    <x v="0"/>
    <s v="Unique"/>
    <n v="152205.05287396099"/>
    <s v="Sale"/>
  </r>
  <r>
    <x v="33"/>
    <x v="1"/>
    <n v="2026"/>
    <x v="5"/>
    <x v="1"/>
    <x v="1"/>
    <x v="3"/>
    <n v="2"/>
    <x v="380"/>
    <n v="43178.951594833998"/>
    <x v="0"/>
    <s v="Unique"/>
    <n v="40647.048405166002"/>
    <s v="Sale"/>
  </r>
  <r>
    <x v="121"/>
    <x v="4"/>
    <n v="2026"/>
    <x v="1"/>
    <x v="0"/>
    <x v="1"/>
    <x v="5"/>
    <n v="8"/>
    <x v="381"/>
    <n v="124126.520020631"/>
    <x v="0"/>
    <s v="Unique"/>
    <n v="122017.479979369"/>
    <s v="Sale"/>
  </r>
  <r>
    <x v="133"/>
    <x v="2"/>
    <n v="2026"/>
    <x v="6"/>
    <x v="0"/>
    <x v="1"/>
    <x v="1"/>
    <n v="3"/>
    <x v="382"/>
    <m/>
    <x v="1"/>
    <s v="Unique"/>
    <n v="138516"/>
    <s v="Sale"/>
  </r>
  <r>
    <x v="158"/>
    <x v="5"/>
    <n v="2026"/>
    <x v="3"/>
    <x v="0"/>
    <x v="3"/>
    <x v="1"/>
    <n v="4"/>
    <x v="383"/>
    <n v="72743.390645357693"/>
    <x v="0"/>
    <s v="Unique"/>
    <n v="70976.609354642307"/>
    <s v="Sale"/>
  </r>
  <r>
    <x v="110"/>
    <x v="4"/>
    <n v="2026"/>
    <x v="2"/>
    <x v="0"/>
    <x v="0"/>
    <x v="0"/>
    <n v="10"/>
    <x v="384"/>
    <m/>
    <x v="1"/>
    <s v="Unique"/>
    <n v="147480"/>
    <s v="Sale"/>
  </r>
  <r>
    <x v="175"/>
    <x v="8"/>
    <n v="2026"/>
    <x v="1"/>
    <x v="0"/>
    <x v="0"/>
    <x v="3"/>
    <n v="2"/>
    <x v="385"/>
    <n v="62914.166240416002"/>
    <x v="0"/>
    <s v="Unique"/>
    <n v="8361.8337595839985"/>
    <s v="Sale"/>
  </r>
  <r>
    <x v="82"/>
    <x v="0"/>
    <n v="2026"/>
    <x v="3"/>
    <x v="0"/>
    <x v="1"/>
    <x v="3"/>
    <n v="8"/>
    <x v="386"/>
    <m/>
    <x v="1"/>
    <s v="Unique"/>
    <n v="373344"/>
    <s v="Sale"/>
  </r>
  <r>
    <x v="22"/>
    <x v="6"/>
    <n v="2026"/>
    <x v="4"/>
    <x v="1"/>
    <x v="1"/>
    <x v="3"/>
    <n v="7"/>
    <x v="20"/>
    <n v="124347.76485748201"/>
    <x v="1"/>
    <s v="Unique"/>
    <n v="-124347.76485748201"/>
    <s v="Sale"/>
  </r>
  <r>
    <x v="106"/>
    <x v="6"/>
    <n v="2026"/>
    <x v="5"/>
    <x v="1"/>
    <x v="2"/>
    <x v="1"/>
    <n v="3"/>
    <x v="387"/>
    <n v="62362.8676050551"/>
    <x v="0"/>
    <s v="Unique"/>
    <n v="37330.1323949449"/>
    <s v="Sale"/>
  </r>
  <r>
    <x v="157"/>
    <x v="0"/>
    <n v="2026"/>
    <x v="0"/>
    <x v="0"/>
    <x v="1"/>
    <x v="0"/>
    <n v="4"/>
    <x v="388"/>
    <n v="45202.0928265931"/>
    <x v="0"/>
    <s v="Unique"/>
    <n v="32369.9071734069"/>
    <s v="Sale"/>
  </r>
  <r>
    <x v="52"/>
    <x v="2"/>
    <n v="2026"/>
    <x v="1"/>
    <x v="0"/>
    <x v="3"/>
    <x v="1"/>
    <n v="1"/>
    <x v="389"/>
    <n v="33107.531595707696"/>
    <x v="0"/>
    <s v="Unique"/>
    <n v="4378.4684042923036"/>
    <s v="Sale"/>
  </r>
  <r>
    <x v="113"/>
    <x v="4"/>
    <n v="2026"/>
    <x v="2"/>
    <x v="0"/>
    <x v="0"/>
    <x v="2"/>
    <n v="4"/>
    <x v="390"/>
    <n v="87749.060557301797"/>
    <x v="0"/>
    <s v="Unique"/>
    <n v="71418.939442698203"/>
    <s v="Sale"/>
  </r>
  <r>
    <x v="176"/>
    <x v="6"/>
    <n v="2026"/>
    <x v="0"/>
    <x v="0"/>
    <x v="1"/>
    <x v="2"/>
    <n v="2"/>
    <x v="391"/>
    <m/>
    <x v="1"/>
    <s v="Unique"/>
    <n v="95520"/>
    <s v="Sale"/>
  </r>
  <r>
    <x v="177"/>
    <x v="1"/>
    <n v="2026"/>
    <x v="6"/>
    <x v="0"/>
    <x v="0"/>
    <x v="0"/>
    <n v="9"/>
    <x v="392"/>
    <n v="102930.254445996"/>
    <x v="0"/>
    <s v="Unique"/>
    <n v="70103.745554003995"/>
    <s v="Sale"/>
  </r>
  <r>
    <x v="8"/>
    <x v="4"/>
    <n v="2026"/>
    <x v="2"/>
    <x v="0"/>
    <x v="0"/>
    <x v="3"/>
    <n v="7"/>
    <x v="393"/>
    <n v="96788.4869050048"/>
    <x v="0"/>
    <s v="Unique"/>
    <n v="45486.5130949952"/>
    <s v="Sale"/>
  </r>
  <r>
    <x v="56"/>
    <x v="6"/>
    <n v="2026"/>
    <x v="6"/>
    <x v="0"/>
    <x v="3"/>
    <x v="2"/>
    <n v="4"/>
    <x v="394"/>
    <n v="37910.932707641499"/>
    <x v="0"/>
    <s v="Unique"/>
    <n v="-84142.932707641507"/>
    <s v="Return"/>
  </r>
  <r>
    <x v="45"/>
    <x v="1"/>
    <n v="2026"/>
    <x v="2"/>
    <x v="0"/>
    <x v="0"/>
    <x v="2"/>
    <n v="5"/>
    <x v="395"/>
    <n v="66857.036050733703"/>
    <x v="0"/>
    <s v="Unique"/>
    <n v="25377.963949266297"/>
    <s v="Sale"/>
  </r>
  <r>
    <x v="115"/>
    <x v="6"/>
    <n v="2026"/>
    <x v="2"/>
    <x v="0"/>
    <x v="2"/>
    <x v="2"/>
    <n v="6"/>
    <x v="396"/>
    <n v="73552.659572526303"/>
    <x v="0"/>
    <s v="Unique"/>
    <n v="40591.340427473697"/>
    <s v="Sale"/>
  </r>
  <r>
    <x v="162"/>
    <x v="6"/>
    <n v="2026"/>
    <x v="0"/>
    <x v="0"/>
    <x v="1"/>
    <x v="1"/>
    <n v="10"/>
    <x v="397"/>
    <n v="338721.40005699999"/>
    <x v="0"/>
    <s v="Unique"/>
    <n v="107168.59994300001"/>
    <s v="Sale"/>
  </r>
  <r>
    <x v="132"/>
    <x v="0"/>
    <n v="2026"/>
    <x v="3"/>
    <x v="0"/>
    <x v="2"/>
    <x v="2"/>
    <n v="10"/>
    <x v="398"/>
    <n v="142426.50792584001"/>
    <x v="0"/>
    <s v="Unique"/>
    <n v="65343.492074159993"/>
    <s v="Sale"/>
  </r>
  <r>
    <x v="174"/>
    <x v="5"/>
    <n v="2026"/>
    <x v="3"/>
    <x v="0"/>
    <x v="2"/>
    <x v="4"/>
    <n v="3"/>
    <x v="399"/>
    <n v="43493.310787021503"/>
    <x v="0"/>
    <s v="Unique"/>
    <n v="30063.689212978497"/>
    <s v="Sale"/>
  </r>
  <r>
    <x v="77"/>
    <x v="0"/>
    <n v="2026"/>
    <x v="2"/>
    <x v="0"/>
    <x v="0"/>
    <x v="5"/>
    <n v="10"/>
    <x v="400"/>
    <n v="320276.443304819"/>
    <x v="0"/>
    <s v="Unique"/>
    <n v="-681676.44330481905"/>
    <s v="Return"/>
  </r>
  <r>
    <x v="38"/>
    <x v="5"/>
    <n v="2026"/>
    <x v="0"/>
    <x v="0"/>
    <x v="2"/>
    <x v="0"/>
    <n v="3"/>
    <x v="401"/>
    <n v="45493.585175848697"/>
    <x v="0"/>
    <s v="Unique"/>
    <n v="38566.414824151303"/>
    <s v="Sale"/>
  </r>
  <r>
    <x v="129"/>
    <x v="6"/>
    <n v="2026"/>
    <x v="1"/>
    <x v="0"/>
    <x v="2"/>
    <x v="3"/>
    <n v="10"/>
    <x v="402"/>
    <n v="64986.295931018598"/>
    <x v="0"/>
    <s v="Unique"/>
    <n v="56773.704068981402"/>
    <s v="Sale"/>
  </r>
  <r>
    <x v="96"/>
    <x v="5"/>
    <n v="2026"/>
    <x v="6"/>
    <x v="0"/>
    <x v="1"/>
    <x v="4"/>
    <n v="1"/>
    <x v="403"/>
    <n v="29235.5123073301"/>
    <x v="0"/>
    <s v="Unique"/>
    <n v="16250.4876926699"/>
    <s v="Sale"/>
  </r>
  <r>
    <x v="178"/>
    <x v="4"/>
    <n v="2026"/>
    <x v="4"/>
    <x v="1"/>
    <x v="1"/>
    <x v="1"/>
    <n v="10"/>
    <x v="404"/>
    <n v="240172.14769081"/>
    <x v="0"/>
    <s v="Unique"/>
    <n v="79027.852309189999"/>
    <s v="Sale"/>
  </r>
  <r>
    <x v="0"/>
    <x v="0"/>
    <n v="2026"/>
    <x v="3"/>
    <x v="0"/>
    <x v="1"/>
    <x v="4"/>
    <n v="8"/>
    <x v="405"/>
    <n v="114661.155032087"/>
    <x v="0"/>
    <s v="Unique"/>
    <n v="-292069.155032087"/>
    <s v="Return"/>
  </r>
  <r>
    <x v="26"/>
    <x v="2"/>
    <n v="2026"/>
    <x v="1"/>
    <x v="0"/>
    <x v="3"/>
    <x v="2"/>
    <n v="5"/>
    <x v="406"/>
    <n v="10474.4563810567"/>
    <x v="0"/>
    <s v="Unique"/>
    <n v="2515.5436189433003"/>
    <s v="Sale"/>
  </r>
  <r>
    <x v="13"/>
    <x v="4"/>
    <n v="2026"/>
    <x v="6"/>
    <x v="0"/>
    <x v="3"/>
    <x v="2"/>
    <n v="4"/>
    <x v="407"/>
    <n v="39927.539814250398"/>
    <x v="0"/>
    <s v="Unique"/>
    <n v="10872.460185749602"/>
    <s v="Sale"/>
  </r>
  <r>
    <x v="141"/>
    <x v="6"/>
    <n v="2026"/>
    <x v="2"/>
    <x v="0"/>
    <x v="0"/>
    <x v="3"/>
    <n v="9"/>
    <x v="408"/>
    <n v="117436.267244017"/>
    <x v="0"/>
    <s v="Unique"/>
    <n v="59116.732755983001"/>
    <s v="Sale"/>
  </r>
  <r>
    <x v="0"/>
    <x v="0"/>
    <n v="2026"/>
    <x v="0"/>
    <x v="0"/>
    <x v="3"/>
    <x v="0"/>
    <n v="6"/>
    <x v="409"/>
    <m/>
    <x v="1"/>
    <s v="Unique"/>
    <n v="19626"/>
    <s v="Sale"/>
  </r>
  <r>
    <x v="96"/>
    <x v="5"/>
    <n v="2026"/>
    <x v="0"/>
    <x v="0"/>
    <x v="2"/>
    <x v="0"/>
    <n v="2"/>
    <x v="410"/>
    <n v="12014.886045374"/>
    <x v="0"/>
    <s v="Unique"/>
    <n v="11735.113954626"/>
    <s v="Sale"/>
  </r>
  <r>
    <x v="8"/>
    <x v="4"/>
    <n v="2026"/>
    <x v="2"/>
    <x v="0"/>
    <x v="2"/>
    <x v="3"/>
    <n v="2"/>
    <x v="411"/>
    <n v="12092.870238486001"/>
    <x v="0"/>
    <s v="Unique"/>
    <n v="11055.129761513999"/>
    <s v="Sale"/>
  </r>
  <r>
    <x v="133"/>
    <x v="2"/>
    <n v="2026"/>
    <x v="3"/>
    <x v="0"/>
    <x v="2"/>
    <x v="4"/>
    <n v="4"/>
    <x v="412"/>
    <n v="88021.937782940702"/>
    <x v="0"/>
    <s v="Unique"/>
    <n v="20850.062217059298"/>
    <s v="Sale"/>
  </r>
  <r>
    <x v="32"/>
    <x v="1"/>
    <n v="2026"/>
    <x v="0"/>
    <x v="0"/>
    <x v="1"/>
    <x v="2"/>
    <n v="7"/>
    <x v="413"/>
    <n v="288884.48175282398"/>
    <x v="0"/>
    <s v="Unique"/>
    <n v="37728.51824717602"/>
    <s v="Sale"/>
  </r>
  <r>
    <x v="13"/>
    <x v="4"/>
    <n v="2026"/>
    <x v="0"/>
    <x v="0"/>
    <x v="0"/>
    <x v="0"/>
    <n v="6"/>
    <x v="414"/>
    <n v="27458.949467286198"/>
    <x v="0"/>
    <s v="Unique"/>
    <n v="5019.0505327138017"/>
    <s v="Sale"/>
  </r>
  <r>
    <x v="179"/>
    <x v="5"/>
    <n v="2026"/>
    <x v="2"/>
    <x v="0"/>
    <x v="0"/>
    <x v="1"/>
    <n v="2"/>
    <x v="20"/>
    <m/>
    <x v="2"/>
    <s v="Unique"/>
    <n v="0"/>
    <s v="Sale"/>
  </r>
  <r>
    <x v="42"/>
    <x v="4"/>
    <n v="2026"/>
    <x v="2"/>
    <x v="0"/>
    <x v="2"/>
    <x v="0"/>
    <n v="3"/>
    <x v="415"/>
    <n v="55955.760913438797"/>
    <x v="0"/>
    <s v="Unique"/>
    <n v="48330.239086561203"/>
    <s v="Sale"/>
  </r>
  <r>
    <x v="180"/>
    <x v="8"/>
    <n v="2026"/>
    <x v="5"/>
    <x v="1"/>
    <x v="1"/>
    <x v="5"/>
    <n v="9"/>
    <x v="416"/>
    <n v="44765.0228245619"/>
    <x v="0"/>
    <s v="Unique"/>
    <n v="36576.9771754381"/>
    <s v="Sale"/>
  </r>
  <r>
    <x v="51"/>
    <x v="5"/>
    <n v="2026"/>
    <x v="4"/>
    <x v="1"/>
    <x v="2"/>
    <x v="5"/>
    <n v="7"/>
    <x v="417"/>
    <m/>
    <x v="1"/>
    <s v="Unique"/>
    <n v="178304"/>
    <s v="Sale"/>
  </r>
  <r>
    <x v="110"/>
    <x v="4"/>
    <n v="2026"/>
    <x v="4"/>
    <x v="1"/>
    <x v="1"/>
    <x v="1"/>
    <n v="6"/>
    <x v="418"/>
    <n v="110437.259385044"/>
    <x v="0"/>
    <s v="Duplicate"/>
    <n v="28834.740614955997"/>
    <s v="Sale"/>
  </r>
  <r>
    <x v="4"/>
    <x v="4"/>
    <n v="2026"/>
    <x v="6"/>
    <x v="0"/>
    <x v="1"/>
    <x v="2"/>
    <n v="5"/>
    <x v="419"/>
    <n v="69005.494852510907"/>
    <x v="0"/>
    <s v="Unique"/>
    <n v="27284.505147489093"/>
    <s v="Sale"/>
  </r>
  <r>
    <x v="102"/>
    <x v="2"/>
    <n v="2026"/>
    <x v="5"/>
    <x v="1"/>
    <x v="1"/>
    <x v="3"/>
    <n v="2"/>
    <x v="420"/>
    <n v="80067.969656407993"/>
    <x v="0"/>
    <s v="Unique"/>
    <n v="10214.030343592007"/>
    <s v="Sale"/>
  </r>
  <r>
    <x v="4"/>
    <x v="4"/>
    <n v="2026"/>
    <x v="5"/>
    <x v="1"/>
    <x v="0"/>
    <x v="2"/>
    <n v="6"/>
    <x v="421"/>
    <m/>
    <x v="1"/>
    <s v="Unique"/>
    <n v="55434"/>
    <s v="Sale"/>
  </r>
  <r>
    <x v="181"/>
    <x v="2"/>
    <n v="2026"/>
    <x v="3"/>
    <x v="0"/>
    <x v="1"/>
    <x v="4"/>
    <n v="1"/>
    <x v="422"/>
    <n v="29829.897003703602"/>
    <x v="0"/>
    <s v="Unique"/>
    <n v="9591.1029962963985"/>
    <s v="Sale"/>
  </r>
  <r>
    <x v="150"/>
    <x v="0"/>
    <n v="2026"/>
    <x v="6"/>
    <x v="0"/>
    <x v="2"/>
    <x v="4"/>
    <n v="4"/>
    <x v="423"/>
    <n v="125311.539882778"/>
    <x v="0"/>
    <s v="Unique"/>
    <n v="54588.460117221999"/>
    <s v="Sale"/>
  </r>
  <r>
    <x v="115"/>
    <x v="6"/>
    <n v="2026"/>
    <x v="3"/>
    <x v="0"/>
    <x v="0"/>
    <x v="5"/>
    <n v="1"/>
    <x v="20"/>
    <n v="25727.029274931199"/>
    <x v="1"/>
    <s v="Unique"/>
    <n v="-25727.029274931199"/>
    <s v="Sale"/>
  </r>
  <r>
    <x v="98"/>
    <x v="2"/>
    <n v="2026"/>
    <x v="0"/>
    <x v="0"/>
    <x v="1"/>
    <x v="1"/>
    <n v="7"/>
    <x v="424"/>
    <n v="58251.227889523099"/>
    <x v="0"/>
    <s v="Unique"/>
    <n v="42660.772110476901"/>
    <s v="Sale"/>
  </r>
  <r>
    <x v="75"/>
    <x v="4"/>
    <n v="2026"/>
    <x v="1"/>
    <x v="0"/>
    <x v="0"/>
    <x v="5"/>
    <n v="8"/>
    <x v="425"/>
    <n v="294438.63426569698"/>
    <x v="0"/>
    <s v="Unique"/>
    <n v="89897.365734303021"/>
    <s v="Sale"/>
  </r>
  <r>
    <x v="182"/>
    <x v="1"/>
    <n v="2026"/>
    <x v="6"/>
    <x v="0"/>
    <x v="3"/>
    <x v="3"/>
    <n v="6"/>
    <x v="426"/>
    <n v="204690.40030324701"/>
    <x v="0"/>
    <s v="Unique"/>
    <n v="23609.599696752994"/>
    <s v="Sale"/>
  </r>
  <r>
    <x v="85"/>
    <x v="1"/>
    <n v="2026"/>
    <x v="4"/>
    <x v="1"/>
    <x v="1"/>
    <x v="2"/>
    <n v="9"/>
    <x v="427"/>
    <n v="108101.769737642"/>
    <x v="0"/>
    <s v="Unique"/>
    <n v="-275960.76973764203"/>
    <s v="Return"/>
  </r>
  <r>
    <x v="176"/>
    <x v="6"/>
    <n v="2026"/>
    <x v="6"/>
    <x v="0"/>
    <x v="1"/>
    <x v="3"/>
    <n v="1"/>
    <x v="428"/>
    <n v="19378.455971887499"/>
    <x v="0"/>
    <s v="Unique"/>
    <n v="2303.5440281125011"/>
    <s v="Sale"/>
  </r>
  <r>
    <x v="127"/>
    <x v="0"/>
    <n v="2026"/>
    <x v="6"/>
    <x v="0"/>
    <x v="1"/>
    <x v="4"/>
    <n v="1"/>
    <x v="429"/>
    <n v="20661.5782332776"/>
    <x v="0"/>
    <s v="Unique"/>
    <n v="11508.4217667224"/>
    <s v="Sale"/>
  </r>
  <r>
    <x v="5"/>
    <x v="5"/>
    <n v="2026"/>
    <x v="6"/>
    <x v="0"/>
    <x v="3"/>
    <x v="1"/>
    <n v="4"/>
    <x v="430"/>
    <n v="22290.407901263199"/>
    <x v="0"/>
    <s v="Unique"/>
    <n v="5945.5920987368008"/>
    <s v="Sale"/>
  </r>
  <r>
    <x v="127"/>
    <x v="0"/>
    <n v="2026"/>
    <x v="1"/>
    <x v="0"/>
    <x v="0"/>
    <x v="4"/>
    <n v="10"/>
    <x v="431"/>
    <n v="143502.12830758601"/>
    <x v="0"/>
    <s v="Unique"/>
    <n v="126547.87169241399"/>
    <s v="Sale"/>
  </r>
  <r>
    <x v="33"/>
    <x v="1"/>
    <n v="2026"/>
    <x v="2"/>
    <x v="0"/>
    <x v="1"/>
    <x v="5"/>
    <n v="10"/>
    <x v="432"/>
    <n v="20715.222584936699"/>
    <x v="0"/>
    <s v="Unique"/>
    <n v="6774.7774150633013"/>
    <s v="Sale"/>
  </r>
  <r>
    <x v="149"/>
    <x v="5"/>
    <n v="2026"/>
    <x v="6"/>
    <x v="0"/>
    <x v="1"/>
    <x v="0"/>
    <n v="1"/>
    <x v="433"/>
    <n v="36577.562573720497"/>
    <x v="0"/>
    <s v="Unique"/>
    <n v="9569.4374262795027"/>
    <s v="Sale"/>
  </r>
  <r>
    <x v="175"/>
    <x v="8"/>
    <n v="2026"/>
    <x v="3"/>
    <x v="0"/>
    <x v="0"/>
    <x v="2"/>
    <n v="3"/>
    <x v="434"/>
    <n v="20295.973538939699"/>
    <x v="0"/>
    <s v="Unique"/>
    <n v="11693.026461060301"/>
    <s v="Sale"/>
  </r>
  <r>
    <x v="183"/>
    <x v="10"/>
    <n v="2026"/>
    <x v="6"/>
    <x v="0"/>
    <x v="3"/>
    <x v="5"/>
    <n v="3"/>
    <x v="435"/>
    <n v="22511.6856916992"/>
    <x v="0"/>
    <s v="Unique"/>
    <n v="10002.3143083008"/>
    <s v="Sale"/>
  </r>
  <r>
    <x v="110"/>
    <x v="4"/>
    <n v="2026"/>
    <x v="4"/>
    <x v="1"/>
    <x v="1"/>
    <x v="4"/>
    <n v="5"/>
    <x v="436"/>
    <n v="94983.713953318103"/>
    <x v="0"/>
    <s v="Unique"/>
    <n v="55936.286046681897"/>
    <s v="Sale"/>
  </r>
  <r>
    <x v="1"/>
    <x v="1"/>
    <n v="2026"/>
    <x v="5"/>
    <x v="1"/>
    <x v="2"/>
    <x v="3"/>
    <n v="3"/>
    <x v="437"/>
    <n v="55805.233152974099"/>
    <x v="0"/>
    <s v="Unique"/>
    <n v="18951.766847025901"/>
    <s v="Sale"/>
  </r>
  <r>
    <x v="125"/>
    <x v="6"/>
    <n v="2026"/>
    <x v="0"/>
    <x v="0"/>
    <x v="0"/>
    <x v="0"/>
    <n v="2"/>
    <x v="438"/>
    <n v="14904.3539069574"/>
    <x v="0"/>
    <s v="Unique"/>
    <n v="3823.6460930426001"/>
    <s v="Sale"/>
  </r>
  <r>
    <x v="62"/>
    <x v="5"/>
    <n v="2026"/>
    <x v="0"/>
    <x v="0"/>
    <x v="2"/>
    <x v="3"/>
    <n v="8"/>
    <x v="439"/>
    <n v="133909.39288977999"/>
    <x v="0"/>
    <s v="Unique"/>
    <n v="129122.60711022001"/>
    <s v="Sale"/>
  </r>
  <r>
    <x v="121"/>
    <x v="4"/>
    <n v="2026"/>
    <x v="6"/>
    <x v="0"/>
    <x v="1"/>
    <x v="5"/>
    <n v="1"/>
    <x v="440"/>
    <m/>
    <x v="1"/>
    <s v="Unique"/>
    <n v="26681"/>
    <s v="Sale"/>
  </r>
  <r>
    <x v="96"/>
    <x v="5"/>
    <n v="2026"/>
    <x v="5"/>
    <x v="1"/>
    <x v="2"/>
    <x v="2"/>
    <n v="1"/>
    <x v="441"/>
    <n v="4171.3350868064499"/>
    <x v="0"/>
    <s v="Unique"/>
    <n v="2192.6649131935501"/>
    <s v="Sale"/>
  </r>
  <r>
    <x v="40"/>
    <x v="6"/>
    <n v="2026"/>
    <x v="2"/>
    <x v="0"/>
    <x v="3"/>
    <x v="0"/>
    <n v="7"/>
    <x v="442"/>
    <n v="220246.65600136801"/>
    <x v="0"/>
    <s v="Unique"/>
    <n v="27042.343998631986"/>
    <s v="Sale"/>
  </r>
  <r>
    <x v="136"/>
    <x v="4"/>
    <n v="2026"/>
    <x v="4"/>
    <x v="1"/>
    <x v="3"/>
    <x v="1"/>
    <n v="1"/>
    <x v="443"/>
    <n v="2758.19632141904"/>
    <x v="0"/>
    <s v="Unique"/>
    <n v="1846.80367858096"/>
    <s v="Sale"/>
  </r>
  <r>
    <x v="70"/>
    <x v="8"/>
    <n v="2026"/>
    <x v="0"/>
    <x v="0"/>
    <x v="0"/>
    <x v="3"/>
    <n v="5"/>
    <x v="444"/>
    <n v="78515.472628365897"/>
    <x v="0"/>
    <s v="Unique"/>
    <n v="8879.5273716341035"/>
    <s v="Sale"/>
  </r>
  <r>
    <x v="118"/>
    <x v="5"/>
    <n v="2026"/>
    <x v="2"/>
    <x v="0"/>
    <x v="2"/>
    <x v="1"/>
    <n v="5"/>
    <x v="445"/>
    <n v="47049.736795681602"/>
    <x v="0"/>
    <s v="Unique"/>
    <n v="36865.263204318398"/>
    <s v="Sale"/>
  </r>
  <r>
    <x v="177"/>
    <x v="1"/>
    <n v="2026"/>
    <x v="2"/>
    <x v="0"/>
    <x v="1"/>
    <x v="2"/>
    <n v="4"/>
    <x v="446"/>
    <n v="88754.744482571507"/>
    <x v="0"/>
    <s v="Unique"/>
    <n v="69425.255517428493"/>
    <s v="Sale"/>
  </r>
  <r>
    <x v="178"/>
    <x v="4"/>
    <n v="2026"/>
    <x v="0"/>
    <x v="0"/>
    <x v="1"/>
    <x v="1"/>
    <n v="9"/>
    <x v="447"/>
    <n v="345615.73133614298"/>
    <x v="0"/>
    <s v="Unique"/>
    <n v="75845.268663857016"/>
    <s v="Sale"/>
  </r>
  <r>
    <x v="122"/>
    <x v="4"/>
    <n v="2026"/>
    <x v="2"/>
    <x v="0"/>
    <x v="1"/>
    <x v="5"/>
    <n v="10"/>
    <x v="448"/>
    <n v="77478.202709495294"/>
    <x v="0"/>
    <s v="Unique"/>
    <n v="46091.797290504706"/>
    <s v="Sale"/>
  </r>
  <r>
    <x v="149"/>
    <x v="5"/>
    <n v="2026"/>
    <x v="1"/>
    <x v="0"/>
    <x v="0"/>
    <x v="2"/>
    <n v="7"/>
    <x v="449"/>
    <n v="103720.226894609"/>
    <x v="0"/>
    <s v="Unique"/>
    <n v="49439.773105390996"/>
    <s v="Sale"/>
  </r>
  <r>
    <x v="184"/>
    <x v="11"/>
    <n v="2026"/>
    <x v="4"/>
    <x v="1"/>
    <x v="2"/>
    <x v="0"/>
    <n v="3"/>
    <x v="450"/>
    <n v="8973.9058194620393"/>
    <x v="0"/>
    <s v="Unique"/>
    <n v="2174.0941805379607"/>
    <s v="Sale"/>
  </r>
  <r>
    <x v="5"/>
    <x v="5"/>
    <n v="2026"/>
    <x v="1"/>
    <x v="0"/>
    <x v="0"/>
    <x v="4"/>
    <n v="8"/>
    <x v="451"/>
    <n v="60487.441039450001"/>
    <x v="0"/>
    <s v="Unique"/>
    <n v="25808.558960549999"/>
    <s v="Sale"/>
  </r>
  <r>
    <x v="128"/>
    <x v="1"/>
    <n v="2026"/>
    <x v="4"/>
    <x v="1"/>
    <x v="1"/>
    <x v="4"/>
    <n v="7"/>
    <x v="452"/>
    <n v="18170.103988375999"/>
    <x v="0"/>
    <s v="Unique"/>
    <n v="2710.8960116240014"/>
    <s v="Sale"/>
  </r>
  <r>
    <x v="152"/>
    <x v="2"/>
    <n v="2026"/>
    <x v="3"/>
    <x v="0"/>
    <x v="3"/>
    <x v="5"/>
    <n v="6"/>
    <x v="453"/>
    <n v="164089.722007662"/>
    <x v="0"/>
    <s v="Unique"/>
    <n v="27820.277992338"/>
    <s v="Sale"/>
  </r>
  <r>
    <x v="177"/>
    <x v="1"/>
    <n v="2026"/>
    <x v="0"/>
    <x v="0"/>
    <x v="2"/>
    <x v="1"/>
    <n v="2"/>
    <x v="454"/>
    <n v="43144.980636514403"/>
    <x v="0"/>
    <s v="Unique"/>
    <n v="20047.019363485597"/>
    <s v="Sale"/>
  </r>
  <r>
    <x v="34"/>
    <x v="4"/>
    <n v="2026"/>
    <x v="6"/>
    <x v="0"/>
    <x v="3"/>
    <x v="1"/>
    <n v="1"/>
    <x v="455"/>
    <n v="8903.0849397541206"/>
    <x v="0"/>
    <s v="Unique"/>
    <n v="5538.9150602458794"/>
    <s v="Sale"/>
  </r>
  <r>
    <x v="76"/>
    <x v="1"/>
    <n v="2026"/>
    <x v="5"/>
    <x v="1"/>
    <x v="2"/>
    <x v="5"/>
    <n v="9"/>
    <x v="456"/>
    <n v="69837.938379806306"/>
    <x v="0"/>
    <s v="Unique"/>
    <n v="32051.061620193694"/>
    <s v="Sale"/>
  </r>
  <r>
    <x v="47"/>
    <x v="2"/>
    <n v="2026"/>
    <x v="0"/>
    <x v="0"/>
    <x v="1"/>
    <x v="2"/>
    <n v="7"/>
    <x v="457"/>
    <n v="110480.020170078"/>
    <x v="0"/>
    <s v="Unique"/>
    <n v="51905.979829921998"/>
    <s v="Sale"/>
  </r>
  <r>
    <x v="152"/>
    <x v="2"/>
    <n v="2026"/>
    <x v="5"/>
    <x v="1"/>
    <x v="1"/>
    <x v="5"/>
    <n v="2"/>
    <x v="458"/>
    <n v="8704.4636416486701"/>
    <x v="0"/>
    <s v="Unique"/>
    <n v="7247.5363583513299"/>
    <s v="Sale"/>
  </r>
  <r>
    <x v="10"/>
    <x v="1"/>
    <n v="2026"/>
    <x v="6"/>
    <x v="0"/>
    <x v="1"/>
    <x v="2"/>
    <n v="9"/>
    <x v="459"/>
    <n v="125502.161784622"/>
    <x v="0"/>
    <s v="Unique"/>
    <n v="116984.838215378"/>
    <s v="Sale"/>
  </r>
  <r>
    <x v="160"/>
    <x v="3"/>
    <n v="2026"/>
    <x v="4"/>
    <x v="1"/>
    <x v="1"/>
    <x v="5"/>
    <n v="1"/>
    <x v="460"/>
    <n v="18383.2643506612"/>
    <x v="0"/>
    <s v="Unique"/>
    <n v="11113.7356493388"/>
    <s v="Sale"/>
  </r>
  <r>
    <x v="47"/>
    <x v="2"/>
    <n v="2026"/>
    <x v="4"/>
    <x v="1"/>
    <x v="1"/>
    <x v="4"/>
    <n v="10"/>
    <x v="461"/>
    <n v="93842.622899138601"/>
    <x v="0"/>
    <s v="Unique"/>
    <n v="92027.377100861399"/>
    <s v="Sale"/>
  </r>
  <r>
    <x v="6"/>
    <x v="0"/>
    <n v="2026"/>
    <x v="6"/>
    <x v="0"/>
    <x v="3"/>
    <x v="2"/>
    <n v="7"/>
    <x v="462"/>
    <n v="115236.008809295"/>
    <x v="0"/>
    <s v="Unique"/>
    <n v="101469.991190705"/>
    <s v="Sale"/>
  </r>
  <r>
    <x v="185"/>
    <x v="0"/>
    <n v="2026"/>
    <x v="4"/>
    <x v="1"/>
    <x v="2"/>
    <x v="0"/>
    <n v="3"/>
    <x v="20"/>
    <n v="12808.292079639101"/>
    <x v="1"/>
    <s v="Unique"/>
    <n v="-12808.292079639101"/>
    <s v="Sale"/>
  </r>
  <r>
    <x v="145"/>
    <x v="0"/>
    <n v="2026"/>
    <x v="1"/>
    <x v="0"/>
    <x v="2"/>
    <x v="2"/>
    <n v="3"/>
    <x v="463"/>
    <n v="28999.732556305898"/>
    <x v="0"/>
    <s v="Unique"/>
    <n v="8719.2674436941015"/>
    <s v="Sale"/>
  </r>
  <r>
    <x v="110"/>
    <x v="4"/>
    <n v="2026"/>
    <x v="3"/>
    <x v="0"/>
    <x v="0"/>
    <x v="4"/>
    <n v="2"/>
    <x v="464"/>
    <n v="27195.977187253498"/>
    <x v="0"/>
    <s v="Unique"/>
    <n v="16032.022812746502"/>
    <s v="Sale"/>
  </r>
  <r>
    <x v="13"/>
    <x v="4"/>
    <n v="2026"/>
    <x v="3"/>
    <x v="0"/>
    <x v="1"/>
    <x v="4"/>
    <n v="5"/>
    <x v="465"/>
    <n v="83788.036380027799"/>
    <x v="0"/>
    <s v="Unique"/>
    <n v="34086.963619972201"/>
    <s v="Sale"/>
  </r>
  <r>
    <x v="40"/>
    <x v="6"/>
    <n v="2026"/>
    <x v="6"/>
    <x v="0"/>
    <x v="2"/>
    <x v="2"/>
    <n v="10"/>
    <x v="466"/>
    <n v="297113.71082850202"/>
    <x v="0"/>
    <s v="Unique"/>
    <n v="186096.28917149798"/>
    <s v="Sale"/>
  </r>
  <r>
    <x v="186"/>
    <x v="0"/>
    <n v="2026"/>
    <x v="6"/>
    <x v="0"/>
    <x v="3"/>
    <x v="1"/>
    <n v="8"/>
    <x v="467"/>
    <n v="225725.87141548301"/>
    <x v="0"/>
    <s v="Unique"/>
    <n v="48482.128584516991"/>
    <s v="Sale"/>
  </r>
  <r>
    <x v="133"/>
    <x v="2"/>
    <n v="2026"/>
    <x v="1"/>
    <x v="0"/>
    <x v="3"/>
    <x v="5"/>
    <n v="2"/>
    <x v="468"/>
    <n v="25557.247634415598"/>
    <x v="0"/>
    <s v="Unique"/>
    <n v="5616.7523655844016"/>
    <s v="Sale"/>
  </r>
  <r>
    <x v="110"/>
    <x v="4"/>
    <n v="2026"/>
    <x v="0"/>
    <x v="0"/>
    <x v="1"/>
    <x v="5"/>
    <n v="5"/>
    <x v="469"/>
    <n v="76193.141249294596"/>
    <x v="0"/>
    <s v="Unique"/>
    <n v="17171.858750705404"/>
    <s v="Sale"/>
  </r>
  <r>
    <x v="35"/>
    <x v="2"/>
    <n v="2026"/>
    <x v="5"/>
    <x v="1"/>
    <x v="0"/>
    <x v="2"/>
    <n v="10"/>
    <x v="470"/>
    <n v="374561.08117257501"/>
    <x v="0"/>
    <s v="Unique"/>
    <n v="49128.91882742499"/>
    <s v="Sale"/>
  </r>
  <r>
    <x v="132"/>
    <x v="0"/>
    <n v="2026"/>
    <x v="1"/>
    <x v="0"/>
    <x v="1"/>
    <x v="2"/>
    <n v="3"/>
    <x v="471"/>
    <n v="88481.370633774495"/>
    <x v="0"/>
    <s v="Unique"/>
    <n v="40830.629366225505"/>
    <s v="Sale"/>
  </r>
  <r>
    <x v="172"/>
    <x v="1"/>
    <n v="2026"/>
    <x v="6"/>
    <x v="0"/>
    <x v="0"/>
    <x v="1"/>
    <n v="6"/>
    <x v="472"/>
    <n v="164518.627439662"/>
    <x v="0"/>
    <s v="Unique"/>
    <n v="65785.372560338001"/>
    <s v="Sale"/>
  </r>
  <r>
    <x v="119"/>
    <x v="6"/>
    <n v="2026"/>
    <x v="4"/>
    <x v="1"/>
    <x v="0"/>
    <x v="4"/>
    <n v="6"/>
    <x v="473"/>
    <n v="119755.91987744901"/>
    <x v="0"/>
    <s v="Unique"/>
    <n v="39790.080122550993"/>
    <s v="Sale"/>
  </r>
  <r>
    <x v="78"/>
    <x v="2"/>
    <n v="2026"/>
    <x v="2"/>
    <x v="0"/>
    <x v="0"/>
    <x v="5"/>
    <n v="6"/>
    <x v="474"/>
    <n v="149243.042478794"/>
    <x v="0"/>
    <s v="Unique"/>
    <n v="141876.957521206"/>
    <s v="Sale"/>
  </r>
  <r>
    <x v="168"/>
    <x v="1"/>
    <n v="2026"/>
    <x v="6"/>
    <x v="0"/>
    <x v="0"/>
    <x v="0"/>
    <n v="2"/>
    <x v="475"/>
    <n v="43179.883369111201"/>
    <x v="0"/>
    <s v="Unique"/>
    <n v="9868.1166308887987"/>
    <s v="Sale"/>
  </r>
  <r>
    <x v="129"/>
    <x v="6"/>
    <n v="2026"/>
    <x v="4"/>
    <x v="1"/>
    <x v="1"/>
    <x v="3"/>
    <n v="8"/>
    <x v="476"/>
    <n v="181331.15799341799"/>
    <x v="0"/>
    <s v="Duplicate"/>
    <n v="109196.84200658201"/>
    <s v="Sale"/>
  </r>
  <r>
    <x v="101"/>
    <x v="4"/>
    <n v="2026"/>
    <x v="0"/>
    <x v="0"/>
    <x v="2"/>
    <x v="2"/>
    <n v="7"/>
    <x v="477"/>
    <n v="288795.943472585"/>
    <x v="0"/>
    <s v="Unique"/>
    <n v="52601.056527414999"/>
    <s v="Sale"/>
  </r>
  <r>
    <x v="187"/>
    <x v="0"/>
    <n v="2026"/>
    <x v="1"/>
    <x v="0"/>
    <x v="2"/>
    <x v="1"/>
    <n v="5"/>
    <x v="478"/>
    <n v="12694.230609808101"/>
    <x v="0"/>
    <s v="Unique"/>
    <n v="4670.7693901918992"/>
    <s v="Sale"/>
  </r>
  <r>
    <x v="133"/>
    <x v="2"/>
    <n v="2026"/>
    <x v="2"/>
    <x v="0"/>
    <x v="3"/>
    <x v="5"/>
    <n v="2"/>
    <x v="479"/>
    <m/>
    <x v="1"/>
    <s v="Unique"/>
    <n v="39736"/>
    <s v="Sale"/>
  </r>
  <r>
    <x v="171"/>
    <x v="11"/>
    <n v="2026"/>
    <x v="6"/>
    <x v="0"/>
    <x v="0"/>
    <x v="1"/>
    <n v="6"/>
    <x v="480"/>
    <n v="66003.210257774495"/>
    <x v="0"/>
    <s v="Unique"/>
    <n v="52574.789742225505"/>
    <s v="Sale"/>
  </r>
  <r>
    <x v="188"/>
    <x v="6"/>
    <n v="2026"/>
    <x v="6"/>
    <x v="0"/>
    <x v="3"/>
    <x v="4"/>
    <n v="3"/>
    <x v="481"/>
    <n v="8053.04250976002"/>
    <x v="0"/>
    <s v="Unique"/>
    <n v="3646.95749023998"/>
    <s v="Sale"/>
  </r>
  <r>
    <x v="138"/>
    <x v="1"/>
    <n v="2026"/>
    <x v="6"/>
    <x v="0"/>
    <x v="3"/>
    <x v="1"/>
    <n v="6"/>
    <x v="482"/>
    <n v="85354.790835514505"/>
    <x v="0"/>
    <s v="Unique"/>
    <n v="49501.209164485495"/>
    <s v="Sale"/>
  </r>
  <r>
    <x v="141"/>
    <x v="6"/>
    <n v="2026"/>
    <x v="3"/>
    <x v="0"/>
    <x v="1"/>
    <x v="4"/>
    <n v="8"/>
    <x v="483"/>
    <n v="45704.197906666202"/>
    <x v="0"/>
    <s v="Unique"/>
    <n v="21287.802093333798"/>
    <s v="Sale"/>
  </r>
  <r>
    <x v="5"/>
    <x v="5"/>
    <n v="2026"/>
    <x v="6"/>
    <x v="0"/>
    <x v="0"/>
    <x v="3"/>
    <n v="7"/>
    <x v="484"/>
    <n v="76512.235881455606"/>
    <x v="0"/>
    <s v="Unique"/>
    <n v="21599.764118544394"/>
    <s v="Sale"/>
  </r>
  <r>
    <x v="20"/>
    <x v="1"/>
    <n v="2026"/>
    <x v="1"/>
    <x v="0"/>
    <x v="0"/>
    <x v="2"/>
    <n v="8"/>
    <x v="485"/>
    <n v="64688.228698192797"/>
    <x v="0"/>
    <s v="Unique"/>
    <n v="40855.771301807203"/>
    <s v="Sale"/>
  </r>
  <r>
    <x v="46"/>
    <x v="1"/>
    <n v="2026"/>
    <x v="5"/>
    <x v="1"/>
    <x v="2"/>
    <x v="3"/>
    <n v="9"/>
    <x v="486"/>
    <n v="191422.07515010299"/>
    <x v="0"/>
    <s v="Unique"/>
    <n v="98467.924849897012"/>
    <s v="Sale"/>
  </r>
  <r>
    <x v="49"/>
    <x v="4"/>
    <n v="2026"/>
    <x v="2"/>
    <x v="0"/>
    <x v="3"/>
    <x v="2"/>
    <n v="10"/>
    <x v="487"/>
    <n v="175332.454302158"/>
    <x v="0"/>
    <s v="Unique"/>
    <n v="68927.545697841997"/>
    <s v="Sale"/>
  </r>
  <r>
    <x v="16"/>
    <x v="4"/>
    <n v="2026"/>
    <x v="6"/>
    <x v="0"/>
    <x v="3"/>
    <x v="3"/>
    <n v="9"/>
    <x v="488"/>
    <n v="62650.517818988301"/>
    <x v="0"/>
    <s v="Unique"/>
    <n v="12940.482181011699"/>
    <s v="Sale"/>
  </r>
  <r>
    <x v="40"/>
    <x v="6"/>
    <n v="2026"/>
    <x v="2"/>
    <x v="0"/>
    <x v="3"/>
    <x v="3"/>
    <n v="8"/>
    <x v="489"/>
    <n v="270601.58042196702"/>
    <x v="0"/>
    <s v="Unique"/>
    <n v="83558.419578032976"/>
    <s v="Sale"/>
  </r>
  <r>
    <x v="83"/>
    <x v="0"/>
    <n v="2026"/>
    <x v="0"/>
    <x v="0"/>
    <x v="1"/>
    <x v="2"/>
    <n v="9"/>
    <x v="490"/>
    <n v="124590.79468386099"/>
    <x v="0"/>
    <s v="Duplicate"/>
    <n v="65336.205316139007"/>
    <s v="Sale"/>
  </r>
  <r>
    <x v="149"/>
    <x v="5"/>
    <n v="2026"/>
    <x v="0"/>
    <x v="0"/>
    <x v="0"/>
    <x v="2"/>
    <n v="6"/>
    <x v="491"/>
    <n v="34532.974806989601"/>
    <x v="0"/>
    <s v="Unique"/>
    <n v="12573.025193010399"/>
    <s v="Sale"/>
  </r>
  <r>
    <x v="74"/>
    <x v="5"/>
    <n v="2026"/>
    <x v="6"/>
    <x v="0"/>
    <x v="2"/>
    <x v="4"/>
    <n v="9"/>
    <x v="492"/>
    <m/>
    <x v="1"/>
    <s v="Unique"/>
    <n v="229887"/>
    <s v="Sale"/>
  </r>
  <r>
    <x v="150"/>
    <x v="0"/>
    <n v="2026"/>
    <x v="3"/>
    <x v="0"/>
    <x v="3"/>
    <x v="2"/>
    <n v="7"/>
    <x v="493"/>
    <n v="154344.16256490201"/>
    <x v="0"/>
    <s v="Unique"/>
    <n v="109723.83743509799"/>
    <s v="Sale"/>
  </r>
  <r>
    <x v="137"/>
    <x v="1"/>
    <n v="2026"/>
    <x v="2"/>
    <x v="0"/>
    <x v="1"/>
    <x v="0"/>
    <n v="1"/>
    <x v="494"/>
    <n v="5088.4425261505103"/>
    <x v="0"/>
    <s v="Unique"/>
    <n v="1612.5574738494897"/>
    <s v="Sale"/>
  </r>
  <r>
    <x v="69"/>
    <x v="1"/>
    <n v="2026"/>
    <x v="0"/>
    <x v="0"/>
    <x v="3"/>
    <x v="2"/>
    <n v="10"/>
    <x v="495"/>
    <n v="224025.53241150299"/>
    <x v="0"/>
    <s v="Unique"/>
    <n v="74954.467588497006"/>
    <s v="Sale"/>
  </r>
  <r>
    <x v="10"/>
    <x v="1"/>
    <n v="2026"/>
    <x v="6"/>
    <x v="0"/>
    <x v="2"/>
    <x v="1"/>
    <n v="8"/>
    <x v="496"/>
    <n v="237408.99237484901"/>
    <x v="0"/>
    <s v="Unique"/>
    <n v="161799.00762515099"/>
    <s v="Sale"/>
  </r>
  <r>
    <x v="140"/>
    <x v="1"/>
    <n v="2026"/>
    <x v="1"/>
    <x v="0"/>
    <x v="3"/>
    <x v="5"/>
    <n v="6"/>
    <x v="497"/>
    <n v="41361.146031727403"/>
    <x v="0"/>
    <s v="Unique"/>
    <n v="15134.853968272597"/>
    <s v="Sale"/>
  </r>
  <r>
    <x v="122"/>
    <x v="4"/>
    <n v="2026"/>
    <x v="2"/>
    <x v="0"/>
    <x v="0"/>
    <x v="2"/>
    <n v="9"/>
    <x v="498"/>
    <n v="45499.3699476088"/>
    <x v="0"/>
    <s v="Duplicate"/>
    <n v="18643.6300523912"/>
    <s v="Sale"/>
  </r>
  <r>
    <x v="92"/>
    <x v="0"/>
    <n v="2026"/>
    <x v="0"/>
    <x v="0"/>
    <x v="0"/>
    <x v="1"/>
    <n v="1"/>
    <x v="20"/>
    <n v="17503.3221501017"/>
    <x v="1"/>
    <s v="Unique"/>
    <n v="-17503.3221501017"/>
    <s v="Sale"/>
  </r>
  <r>
    <x v="16"/>
    <x v="4"/>
    <n v="2026"/>
    <x v="2"/>
    <x v="0"/>
    <x v="0"/>
    <x v="3"/>
    <n v="3"/>
    <x v="499"/>
    <n v="10071.474921290501"/>
    <x v="0"/>
    <s v="Unique"/>
    <n v="2873.5250787094992"/>
    <s v="Sale"/>
  </r>
  <r>
    <x v="143"/>
    <x v="3"/>
    <n v="2026"/>
    <x v="3"/>
    <x v="0"/>
    <x v="1"/>
    <x v="1"/>
    <n v="1"/>
    <x v="500"/>
    <n v="40337.3206801903"/>
    <x v="0"/>
    <s v="Unique"/>
    <n v="4674.6793198097002"/>
    <s v="Sale"/>
  </r>
  <r>
    <x v="189"/>
    <x v="6"/>
    <n v="2026"/>
    <x v="1"/>
    <x v="0"/>
    <x v="0"/>
    <x v="3"/>
    <n v="3"/>
    <x v="501"/>
    <m/>
    <x v="1"/>
    <s v="Unique"/>
    <n v="127068"/>
    <s v="Sale"/>
  </r>
  <r>
    <x v="148"/>
    <x v="2"/>
    <n v="2026"/>
    <x v="0"/>
    <x v="0"/>
    <x v="3"/>
    <x v="3"/>
    <n v="3"/>
    <x v="502"/>
    <n v="46636.7547033683"/>
    <x v="0"/>
    <s v="Unique"/>
    <n v="10726.2452966317"/>
    <s v="Sale"/>
  </r>
  <r>
    <x v="176"/>
    <x v="6"/>
    <n v="2026"/>
    <x v="4"/>
    <x v="1"/>
    <x v="1"/>
    <x v="2"/>
    <n v="7"/>
    <x v="503"/>
    <n v="112951.28046073701"/>
    <x v="0"/>
    <s v="Duplicate"/>
    <n v="76825.719539262995"/>
    <s v="Sale"/>
  </r>
  <r>
    <x v="51"/>
    <x v="5"/>
    <n v="2026"/>
    <x v="5"/>
    <x v="1"/>
    <x v="2"/>
    <x v="4"/>
    <n v="3"/>
    <x v="504"/>
    <n v="64121.004374592303"/>
    <x v="0"/>
    <s v="Unique"/>
    <n v="33105.995625407697"/>
    <s v="Sale"/>
  </r>
  <r>
    <x v="136"/>
    <x v="4"/>
    <n v="2026"/>
    <x v="3"/>
    <x v="0"/>
    <x v="3"/>
    <x v="3"/>
    <n v="3"/>
    <x v="20"/>
    <n v="93537.324483652104"/>
    <x v="1"/>
    <s v="Unique"/>
    <n v="-93537.324483652104"/>
    <s v="Sale"/>
  </r>
  <r>
    <x v="36"/>
    <x v="0"/>
    <n v="2026"/>
    <x v="1"/>
    <x v="0"/>
    <x v="2"/>
    <x v="1"/>
    <n v="6"/>
    <x v="505"/>
    <n v="135281.11501119501"/>
    <x v="0"/>
    <s v="Unique"/>
    <n v="46500.884988804988"/>
    <s v="Sale"/>
  </r>
  <r>
    <x v="56"/>
    <x v="6"/>
    <n v="2026"/>
    <x v="3"/>
    <x v="0"/>
    <x v="1"/>
    <x v="5"/>
    <n v="10"/>
    <x v="506"/>
    <n v="104597.10242542101"/>
    <x v="0"/>
    <s v="Unique"/>
    <n v="43142.897574578994"/>
    <s v="Sale"/>
  </r>
  <r>
    <x v="24"/>
    <x v="6"/>
    <n v="2026"/>
    <x v="1"/>
    <x v="0"/>
    <x v="3"/>
    <x v="4"/>
    <n v="9"/>
    <x v="507"/>
    <n v="61379.3360002837"/>
    <x v="0"/>
    <s v="Unique"/>
    <n v="17901.6639997163"/>
    <s v="Sale"/>
  </r>
  <r>
    <x v="190"/>
    <x v="10"/>
    <n v="2026"/>
    <x v="1"/>
    <x v="0"/>
    <x v="2"/>
    <x v="1"/>
    <n v="4"/>
    <x v="508"/>
    <n v="124707.119331629"/>
    <x v="0"/>
    <s v="Unique"/>
    <n v="40416.880668370999"/>
    <s v="Sale"/>
  </r>
  <r>
    <x v="19"/>
    <x v="2"/>
    <n v="2026"/>
    <x v="0"/>
    <x v="0"/>
    <x v="1"/>
    <x v="4"/>
    <n v="3"/>
    <x v="509"/>
    <n v="34478.478488322799"/>
    <x v="0"/>
    <s v="Unique"/>
    <n v="21327.521511677201"/>
    <s v="Sale"/>
  </r>
  <r>
    <x v="158"/>
    <x v="5"/>
    <n v="2026"/>
    <x v="0"/>
    <x v="0"/>
    <x v="0"/>
    <x v="3"/>
    <n v="3"/>
    <x v="510"/>
    <n v="12552.470353401201"/>
    <x v="0"/>
    <s v="Unique"/>
    <n v="7994.5296465987994"/>
    <s v="Sale"/>
  </r>
  <r>
    <x v="23"/>
    <x v="5"/>
    <n v="2026"/>
    <x v="3"/>
    <x v="0"/>
    <x v="2"/>
    <x v="2"/>
    <n v="4"/>
    <x v="511"/>
    <n v="110374.52186157501"/>
    <x v="0"/>
    <s v="Unique"/>
    <n v="57609.478138424995"/>
    <s v="Sale"/>
  </r>
  <r>
    <x v="85"/>
    <x v="1"/>
    <n v="2026"/>
    <x v="3"/>
    <x v="0"/>
    <x v="0"/>
    <x v="4"/>
    <n v="1"/>
    <x v="512"/>
    <n v="3579.90190133027"/>
    <x v="0"/>
    <s v="Unique"/>
    <n v="-10357.90190133027"/>
    <s v="Return"/>
  </r>
  <r>
    <x v="153"/>
    <x v="3"/>
    <n v="2026"/>
    <x v="0"/>
    <x v="0"/>
    <x v="2"/>
    <x v="4"/>
    <n v="7"/>
    <x v="513"/>
    <n v="76374.7125409734"/>
    <x v="0"/>
    <s v="Unique"/>
    <n v="-212601.71254097339"/>
    <s v="Return"/>
  </r>
  <r>
    <x v="55"/>
    <x v="4"/>
    <n v="2026"/>
    <x v="0"/>
    <x v="0"/>
    <x v="2"/>
    <x v="1"/>
    <n v="4"/>
    <x v="514"/>
    <n v="5795.0132875729496"/>
    <x v="0"/>
    <s v="Unique"/>
    <n v="3068.9867124270504"/>
    <s v="Sale"/>
  </r>
  <r>
    <x v="34"/>
    <x v="4"/>
    <n v="2026"/>
    <x v="0"/>
    <x v="0"/>
    <x v="0"/>
    <x v="2"/>
    <n v="1"/>
    <x v="515"/>
    <n v="39040.551251147597"/>
    <x v="0"/>
    <s v="Unique"/>
    <n v="4395.4487488524028"/>
    <s v="Sale"/>
  </r>
  <r>
    <x v="91"/>
    <x v="5"/>
    <n v="2026"/>
    <x v="3"/>
    <x v="0"/>
    <x v="0"/>
    <x v="5"/>
    <n v="4"/>
    <x v="516"/>
    <n v="39190.320083926599"/>
    <x v="0"/>
    <s v="Unique"/>
    <n v="15105.679916073401"/>
    <s v="Sale"/>
  </r>
  <r>
    <x v="128"/>
    <x v="1"/>
    <n v="2026"/>
    <x v="5"/>
    <x v="1"/>
    <x v="3"/>
    <x v="4"/>
    <n v="8"/>
    <x v="517"/>
    <n v="64119.736296525603"/>
    <x v="0"/>
    <s v="Unique"/>
    <n v="51208.263703474397"/>
    <s v="Sale"/>
  </r>
  <r>
    <x v="55"/>
    <x v="4"/>
    <n v="2026"/>
    <x v="0"/>
    <x v="0"/>
    <x v="0"/>
    <x v="2"/>
    <n v="9"/>
    <x v="20"/>
    <n v="250920.625780659"/>
    <x v="1"/>
    <s v="Unique"/>
    <n v="-250920.625780659"/>
    <s v="Sale"/>
  </r>
  <r>
    <x v="90"/>
    <x v="6"/>
    <n v="2026"/>
    <x v="0"/>
    <x v="0"/>
    <x v="3"/>
    <x v="5"/>
    <n v="9"/>
    <x v="518"/>
    <n v="84300.324063644293"/>
    <x v="0"/>
    <s v="Unique"/>
    <n v="21548.675936355707"/>
    <s v="Sale"/>
  </r>
  <r>
    <x v="55"/>
    <x v="4"/>
    <n v="2026"/>
    <x v="6"/>
    <x v="0"/>
    <x v="2"/>
    <x v="0"/>
    <n v="3"/>
    <x v="20"/>
    <n v="5019.4012024163303"/>
    <x v="1"/>
    <s v="Unique"/>
    <n v="-5019.4012024163303"/>
    <s v="Sale"/>
  </r>
  <r>
    <x v="20"/>
    <x v="1"/>
    <n v="2026"/>
    <x v="1"/>
    <x v="0"/>
    <x v="2"/>
    <x v="4"/>
    <n v="8"/>
    <x v="519"/>
    <n v="268799.33028459101"/>
    <x v="0"/>
    <s v="Unique"/>
    <n v="59136.669715408992"/>
    <s v="Sale"/>
  </r>
  <r>
    <x v="36"/>
    <x v="0"/>
    <n v="2026"/>
    <x v="0"/>
    <x v="0"/>
    <x v="1"/>
    <x v="3"/>
    <n v="4"/>
    <x v="520"/>
    <n v="14706.345851063499"/>
    <x v="0"/>
    <s v="Unique"/>
    <n v="5241.6541489365009"/>
    <s v="Sale"/>
  </r>
  <r>
    <x v="73"/>
    <x v="1"/>
    <n v="2026"/>
    <x v="5"/>
    <x v="1"/>
    <x v="1"/>
    <x v="2"/>
    <n v="4"/>
    <x v="521"/>
    <n v="82895.9109097318"/>
    <x v="0"/>
    <s v="Unique"/>
    <n v="77668.0890902682"/>
    <s v="Sale"/>
  </r>
  <r>
    <x v="70"/>
    <x v="8"/>
    <n v="2026"/>
    <x v="3"/>
    <x v="0"/>
    <x v="2"/>
    <x v="4"/>
    <n v="1"/>
    <x v="522"/>
    <n v="11975.716897816599"/>
    <x v="0"/>
    <s v="Duplicate"/>
    <n v="1782.2831021834008"/>
    <s v="Sale"/>
  </r>
  <r>
    <x v="82"/>
    <x v="0"/>
    <n v="2026"/>
    <x v="0"/>
    <x v="0"/>
    <x v="1"/>
    <x v="0"/>
    <n v="3"/>
    <x v="523"/>
    <n v="80180.212033409407"/>
    <x v="0"/>
    <s v="Unique"/>
    <n v="51612.787966590593"/>
    <s v="Sale"/>
  </r>
  <r>
    <x v="82"/>
    <x v="0"/>
    <n v="2026"/>
    <x v="4"/>
    <x v="1"/>
    <x v="3"/>
    <x v="1"/>
    <n v="2"/>
    <x v="524"/>
    <n v="71602.138027320296"/>
    <x v="0"/>
    <s v="Unique"/>
    <n v="14603.861972679704"/>
    <s v="Sale"/>
  </r>
  <r>
    <x v="133"/>
    <x v="2"/>
    <n v="2026"/>
    <x v="6"/>
    <x v="0"/>
    <x v="2"/>
    <x v="1"/>
    <n v="6"/>
    <x v="525"/>
    <n v="157634.53347644"/>
    <x v="0"/>
    <s v="Unique"/>
    <n v="66591.466523559997"/>
    <s v="Sale"/>
  </r>
  <r>
    <x v="17"/>
    <x v="6"/>
    <n v="2026"/>
    <x v="2"/>
    <x v="0"/>
    <x v="1"/>
    <x v="5"/>
    <n v="8"/>
    <x v="526"/>
    <m/>
    <x v="1"/>
    <s v="Unique"/>
    <n v="276840"/>
    <s v="Sale"/>
  </r>
  <r>
    <x v="96"/>
    <x v="5"/>
    <n v="2026"/>
    <x v="6"/>
    <x v="0"/>
    <x v="3"/>
    <x v="4"/>
    <n v="2"/>
    <x v="527"/>
    <n v="9459.7769093372208"/>
    <x v="0"/>
    <s v="Unique"/>
    <n v="1414.2230906627792"/>
    <s v="Sale"/>
  </r>
  <r>
    <x v="81"/>
    <x v="6"/>
    <n v="2026"/>
    <x v="4"/>
    <x v="1"/>
    <x v="3"/>
    <x v="1"/>
    <n v="10"/>
    <x v="528"/>
    <n v="155970.90518740501"/>
    <x v="0"/>
    <s v="Unique"/>
    <n v="77649.094812594994"/>
    <s v="Sale"/>
  </r>
  <r>
    <x v="114"/>
    <x v="6"/>
    <n v="2026"/>
    <x v="0"/>
    <x v="0"/>
    <x v="3"/>
    <x v="0"/>
    <n v="7"/>
    <x v="529"/>
    <n v="61002.543451034398"/>
    <x v="0"/>
    <s v="Unique"/>
    <n v="54224.456548965602"/>
    <s v="Sale"/>
  </r>
  <r>
    <x v="98"/>
    <x v="2"/>
    <n v="2026"/>
    <x v="3"/>
    <x v="0"/>
    <x v="0"/>
    <x v="0"/>
    <n v="8"/>
    <x v="530"/>
    <n v="227247.59737222199"/>
    <x v="0"/>
    <s v="Unique"/>
    <n v="166144.40262777801"/>
    <s v="Sale"/>
  </r>
  <r>
    <x v="176"/>
    <x v="6"/>
    <n v="2026"/>
    <x v="4"/>
    <x v="1"/>
    <x v="2"/>
    <x v="2"/>
    <n v="8"/>
    <x v="531"/>
    <n v="133743.002630426"/>
    <x v="0"/>
    <s v="Unique"/>
    <n v="101520.997369574"/>
    <s v="Sale"/>
  </r>
  <r>
    <x v="0"/>
    <x v="0"/>
    <n v="2026"/>
    <x v="6"/>
    <x v="0"/>
    <x v="1"/>
    <x v="4"/>
    <n v="7"/>
    <x v="532"/>
    <n v="176257.451293185"/>
    <x v="0"/>
    <s v="Unique"/>
    <n v="77100.548706814996"/>
    <s v="Sale"/>
  </r>
  <r>
    <x v="18"/>
    <x v="5"/>
    <n v="2026"/>
    <x v="3"/>
    <x v="0"/>
    <x v="1"/>
    <x v="0"/>
    <n v="6"/>
    <x v="533"/>
    <n v="133732.57632204401"/>
    <x v="0"/>
    <s v="Unique"/>
    <n v="49015.423677955987"/>
    <s v="Sale"/>
  </r>
  <r>
    <x v="16"/>
    <x v="4"/>
    <n v="2026"/>
    <x v="1"/>
    <x v="0"/>
    <x v="2"/>
    <x v="2"/>
    <n v="9"/>
    <x v="534"/>
    <n v="25354.645904900801"/>
    <x v="0"/>
    <s v="Unique"/>
    <n v="12472.354095099199"/>
    <s v="Sale"/>
  </r>
  <r>
    <x v="56"/>
    <x v="6"/>
    <n v="2026"/>
    <x v="6"/>
    <x v="0"/>
    <x v="2"/>
    <x v="5"/>
    <n v="7"/>
    <x v="535"/>
    <n v="63056.645044769197"/>
    <x v="0"/>
    <s v="Unique"/>
    <n v="50952.354955230803"/>
    <s v="Sale"/>
  </r>
  <r>
    <x v="48"/>
    <x v="4"/>
    <n v="2026"/>
    <x v="3"/>
    <x v="0"/>
    <x v="2"/>
    <x v="2"/>
    <n v="8"/>
    <x v="536"/>
    <n v="75342.790839804293"/>
    <x v="0"/>
    <s v="Unique"/>
    <n v="13329.209160195707"/>
    <s v="Sale"/>
  </r>
  <r>
    <x v="76"/>
    <x v="1"/>
    <n v="2026"/>
    <x v="0"/>
    <x v="0"/>
    <x v="2"/>
    <x v="2"/>
    <n v="6"/>
    <x v="537"/>
    <n v="113270.84488786499"/>
    <x v="0"/>
    <s v="Unique"/>
    <n v="107493.15511213501"/>
    <s v="Sale"/>
  </r>
  <r>
    <x v="178"/>
    <x v="4"/>
    <n v="2026"/>
    <x v="0"/>
    <x v="0"/>
    <x v="2"/>
    <x v="1"/>
    <n v="6"/>
    <x v="538"/>
    <n v="23684.1753588838"/>
    <x v="0"/>
    <s v="Unique"/>
    <n v="9867.8246411161999"/>
    <s v="Sale"/>
  </r>
  <r>
    <x v="10"/>
    <x v="1"/>
    <n v="2026"/>
    <x v="5"/>
    <x v="1"/>
    <x v="0"/>
    <x v="0"/>
    <n v="9"/>
    <x v="539"/>
    <n v="228498.41889683099"/>
    <x v="0"/>
    <s v="Unique"/>
    <n v="205247.58110316901"/>
    <s v="Sale"/>
  </r>
  <r>
    <x v="66"/>
    <x v="5"/>
    <n v="2026"/>
    <x v="0"/>
    <x v="0"/>
    <x v="1"/>
    <x v="5"/>
    <n v="4"/>
    <x v="540"/>
    <n v="58982.353770391397"/>
    <x v="0"/>
    <s v="Unique"/>
    <n v="33021.646229608603"/>
    <s v="Sale"/>
  </r>
  <r>
    <x v="103"/>
    <x v="6"/>
    <n v="2026"/>
    <x v="6"/>
    <x v="0"/>
    <x v="2"/>
    <x v="2"/>
    <n v="9"/>
    <x v="541"/>
    <n v="347067.29348089203"/>
    <x v="0"/>
    <s v="Unique"/>
    <n v="71009.706519107975"/>
    <s v="Sale"/>
  </r>
  <r>
    <x v="132"/>
    <x v="0"/>
    <n v="2026"/>
    <x v="1"/>
    <x v="0"/>
    <x v="1"/>
    <x v="2"/>
    <n v="2"/>
    <x v="542"/>
    <n v="9521.2087003689903"/>
    <x v="0"/>
    <s v="Unique"/>
    <n v="4986.7912996310097"/>
    <s v="Sale"/>
  </r>
  <r>
    <x v="191"/>
    <x v="2"/>
    <n v="2026"/>
    <x v="3"/>
    <x v="0"/>
    <x v="1"/>
    <x v="0"/>
    <n v="9"/>
    <x v="543"/>
    <n v="197511.85723370299"/>
    <x v="0"/>
    <s v="Unique"/>
    <n v="190469.14276629701"/>
    <s v="Sale"/>
  </r>
  <r>
    <x v="42"/>
    <x v="4"/>
    <n v="2026"/>
    <x v="0"/>
    <x v="0"/>
    <x v="2"/>
    <x v="3"/>
    <n v="4"/>
    <x v="544"/>
    <n v="12465.958861586199"/>
    <x v="0"/>
    <s v="Unique"/>
    <n v="12034.041138413801"/>
    <s v="Sale"/>
  </r>
  <r>
    <x v="43"/>
    <x v="5"/>
    <n v="2026"/>
    <x v="0"/>
    <x v="0"/>
    <x v="0"/>
    <x v="2"/>
    <n v="10"/>
    <x v="545"/>
    <n v="355396.05293325102"/>
    <x v="0"/>
    <s v="Unique"/>
    <n v="100973.94706674898"/>
    <s v="Sale"/>
  </r>
  <r>
    <x v="19"/>
    <x v="2"/>
    <n v="2026"/>
    <x v="2"/>
    <x v="0"/>
    <x v="0"/>
    <x v="0"/>
    <n v="8"/>
    <x v="546"/>
    <m/>
    <x v="1"/>
    <s v="Unique"/>
    <n v="210976"/>
    <s v="Sale"/>
  </r>
  <r>
    <x v="20"/>
    <x v="1"/>
    <n v="2026"/>
    <x v="4"/>
    <x v="1"/>
    <x v="0"/>
    <x v="0"/>
    <n v="3"/>
    <x v="547"/>
    <n v="112855.25492843401"/>
    <x v="0"/>
    <s v="Unique"/>
    <n v="32362.745071565994"/>
    <s v="Sale"/>
  </r>
  <r>
    <x v="90"/>
    <x v="6"/>
    <n v="2026"/>
    <x v="3"/>
    <x v="0"/>
    <x v="0"/>
    <x v="3"/>
    <n v="3"/>
    <x v="20"/>
    <n v="33592.638551086398"/>
    <x v="1"/>
    <s v="Unique"/>
    <n v="-33592.638551086398"/>
    <s v="Sale"/>
  </r>
  <r>
    <x v="14"/>
    <x v="1"/>
    <n v="2026"/>
    <x v="6"/>
    <x v="0"/>
    <x v="0"/>
    <x v="4"/>
    <n v="1"/>
    <x v="548"/>
    <n v="24875.5271992739"/>
    <x v="0"/>
    <s v="Unique"/>
    <n v="3637.4728007261001"/>
    <s v="Sale"/>
  </r>
  <r>
    <x v="192"/>
    <x v="10"/>
    <n v="2026"/>
    <x v="0"/>
    <x v="0"/>
    <x v="0"/>
    <x v="5"/>
    <n v="5"/>
    <x v="549"/>
    <n v="141883.44538547201"/>
    <x v="0"/>
    <s v="Unique"/>
    <n v="23406.554614527995"/>
    <s v="Sale"/>
  </r>
  <r>
    <x v="142"/>
    <x v="0"/>
    <n v="2026"/>
    <x v="6"/>
    <x v="0"/>
    <x v="3"/>
    <x v="3"/>
    <n v="2"/>
    <x v="20"/>
    <n v="69087.323716270403"/>
    <x v="1"/>
    <s v="Unique"/>
    <n v="-69087.323716270403"/>
    <s v="Sale"/>
  </r>
  <r>
    <x v="129"/>
    <x v="6"/>
    <n v="2026"/>
    <x v="3"/>
    <x v="0"/>
    <x v="0"/>
    <x v="4"/>
    <n v="6"/>
    <x v="550"/>
    <n v="25000.3096352791"/>
    <x v="0"/>
    <s v="Unique"/>
    <n v="8635.6903647209001"/>
    <s v="Sale"/>
  </r>
  <r>
    <x v="18"/>
    <x v="5"/>
    <n v="2026"/>
    <x v="1"/>
    <x v="0"/>
    <x v="3"/>
    <x v="5"/>
    <n v="2"/>
    <x v="551"/>
    <n v="46754.2521622821"/>
    <x v="0"/>
    <s v="Unique"/>
    <n v="24325.7478377179"/>
    <s v="Sale"/>
  </r>
  <r>
    <x v="7"/>
    <x v="6"/>
    <n v="2026"/>
    <x v="4"/>
    <x v="1"/>
    <x v="3"/>
    <x v="3"/>
    <n v="7"/>
    <x v="552"/>
    <n v="93417.769707587693"/>
    <x v="0"/>
    <s v="Unique"/>
    <n v="91613.230292412307"/>
    <s v="Sale"/>
  </r>
  <r>
    <x v="110"/>
    <x v="4"/>
    <n v="2026"/>
    <x v="0"/>
    <x v="0"/>
    <x v="3"/>
    <x v="5"/>
    <n v="7"/>
    <x v="553"/>
    <n v="133549.12461581"/>
    <x v="0"/>
    <s v="Unique"/>
    <n v="83443.875384190003"/>
    <s v="Sale"/>
  </r>
  <r>
    <x v="73"/>
    <x v="1"/>
    <n v="2026"/>
    <x v="6"/>
    <x v="0"/>
    <x v="2"/>
    <x v="0"/>
    <n v="4"/>
    <x v="554"/>
    <n v="60353.181407188102"/>
    <x v="0"/>
    <s v="Unique"/>
    <n v="27134.818592811898"/>
    <s v="Sale"/>
  </r>
  <r>
    <x v="150"/>
    <x v="0"/>
    <n v="2026"/>
    <x v="3"/>
    <x v="0"/>
    <x v="0"/>
    <x v="2"/>
    <n v="3"/>
    <x v="555"/>
    <n v="78945.851567085701"/>
    <x v="0"/>
    <s v="Duplicate"/>
    <n v="36329.148432914299"/>
    <s v="Sale"/>
  </r>
  <r>
    <x v="177"/>
    <x v="1"/>
    <n v="2026"/>
    <x v="2"/>
    <x v="0"/>
    <x v="0"/>
    <x v="1"/>
    <n v="5"/>
    <x v="556"/>
    <m/>
    <x v="1"/>
    <s v="Unique"/>
    <n v="-171905"/>
    <s v="Return"/>
  </r>
  <r>
    <x v="156"/>
    <x v="5"/>
    <n v="2026"/>
    <x v="0"/>
    <x v="0"/>
    <x v="3"/>
    <x v="4"/>
    <n v="5"/>
    <x v="557"/>
    <n v="83869.849476888194"/>
    <x v="0"/>
    <s v="Unique"/>
    <n v="-230559.84947688819"/>
    <s v="Return"/>
  </r>
  <r>
    <x v="158"/>
    <x v="5"/>
    <n v="2026"/>
    <x v="6"/>
    <x v="0"/>
    <x v="0"/>
    <x v="1"/>
    <n v="8"/>
    <x v="558"/>
    <n v="210772.052487896"/>
    <x v="0"/>
    <s v="Unique"/>
    <n v="101747.947512104"/>
    <s v="Sale"/>
  </r>
  <r>
    <x v="120"/>
    <x v="6"/>
    <n v="2026"/>
    <x v="1"/>
    <x v="0"/>
    <x v="0"/>
    <x v="0"/>
    <n v="10"/>
    <x v="559"/>
    <n v="32580.255849153298"/>
    <x v="0"/>
    <s v="Unique"/>
    <n v="25759.744150846702"/>
    <s v="Sale"/>
  </r>
  <r>
    <x v="17"/>
    <x v="6"/>
    <n v="2026"/>
    <x v="5"/>
    <x v="1"/>
    <x v="2"/>
    <x v="3"/>
    <n v="5"/>
    <x v="560"/>
    <n v="138678.89809981399"/>
    <x v="0"/>
    <s v="Unique"/>
    <n v="44861.101900186011"/>
    <s v="Sale"/>
  </r>
  <r>
    <x v="166"/>
    <x v="6"/>
    <n v="2026"/>
    <x v="5"/>
    <x v="1"/>
    <x v="0"/>
    <x v="5"/>
    <n v="5"/>
    <x v="561"/>
    <n v="76604.862416278906"/>
    <x v="0"/>
    <s v="Unique"/>
    <n v="22345.137583721094"/>
    <s v="Sale"/>
  </r>
  <r>
    <x v="187"/>
    <x v="0"/>
    <n v="2026"/>
    <x v="6"/>
    <x v="0"/>
    <x v="0"/>
    <x v="3"/>
    <n v="8"/>
    <x v="562"/>
    <n v="147581.05487123199"/>
    <x v="0"/>
    <s v="Unique"/>
    <n v="84418.945128768013"/>
    <s v="Sale"/>
  </r>
  <r>
    <x v="2"/>
    <x v="2"/>
    <n v="2026"/>
    <x v="6"/>
    <x v="0"/>
    <x v="2"/>
    <x v="2"/>
    <n v="8"/>
    <x v="563"/>
    <m/>
    <x v="1"/>
    <s v="Unique"/>
    <n v="56048"/>
    <s v="Sale"/>
  </r>
  <r>
    <x v="127"/>
    <x v="0"/>
    <n v="2026"/>
    <x v="6"/>
    <x v="0"/>
    <x v="0"/>
    <x v="0"/>
    <n v="5"/>
    <x v="564"/>
    <n v="15492.966960010001"/>
    <x v="0"/>
    <s v="Unique"/>
    <n v="3927.0330399899995"/>
    <s v="Sale"/>
  </r>
  <r>
    <x v="127"/>
    <x v="0"/>
    <n v="2026"/>
    <x v="4"/>
    <x v="1"/>
    <x v="2"/>
    <x v="2"/>
    <n v="2"/>
    <x v="565"/>
    <n v="7200.7301444868199"/>
    <x v="0"/>
    <s v="Unique"/>
    <n v="6987.2698555131801"/>
    <s v="Sale"/>
  </r>
  <r>
    <x v="176"/>
    <x v="6"/>
    <n v="2026"/>
    <x v="1"/>
    <x v="0"/>
    <x v="3"/>
    <x v="4"/>
    <n v="5"/>
    <x v="566"/>
    <n v="12730.744477193901"/>
    <x v="0"/>
    <s v="Unique"/>
    <n v="11449.255522806099"/>
    <s v="Sale"/>
  </r>
  <r>
    <x v="145"/>
    <x v="0"/>
    <n v="2026"/>
    <x v="4"/>
    <x v="1"/>
    <x v="0"/>
    <x v="4"/>
    <n v="2"/>
    <x v="567"/>
    <n v="19347.3168860636"/>
    <x v="0"/>
    <s v="Unique"/>
    <n v="3730.6831139364003"/>
    <s v="Sale"/>
  </r>
  <r>
    <x v="28"/>
    <x v="2"/>
    <n v="2026"/>
    <x v="6"/>
    <x v="0"/>
    <x v="1"/>
    <x v="1"/>
    <n v="10"/>
    <x v="568"/>
    <m/>
    <x v="1"/>
    <s v="Unique"/>
    <n v="64780"/>
    <s v="Sale"/>
  </r>
  <r>
    <x v="133"/>
    <x v="2"/>
    <n v="2026"/>
    <x v="2"/>
    <x v="0"/>
    <x v="2"/>
    <x v="5"/>
    <n v="2"/>
    <x v="569"/>
    <n v="27825.5174216909"/>
    <x v="0"/>
    <s v="Unique"/>
    <n v="4224.4825783091001"/>
    <s v="Sale"/>
  </r>
  <r>
    <x v="102"/>
    <x v="2"/>
    <n v="2026"/>
    <x v="4"/>
    <x v="1"/>
    <x v="0"/>
    <x v="2"/>
    <n v="7"/>
    <x v="570"/>
    <n v="79245.920846721405"/>
    <x v="0"/>
    <s v="Unique"/>
    <n v="33048.079153278595"/>
    <s v="Sale"/>
  </r>
  <r>
    <x v="44"/>
    <x v="1"/>
    <n v="2026"/>
    <x v="4"/>
    <x v="1"/>
    <x v="3"/>
    <x v="3"/>
    <n v="5"/>
    <x v="571"/>
    <n v="151901.847345291"/>
    <x v="0"/>
    <s v="Unique"/>
    <n v="40658.152654709003"/>
    <s v="Sale"/>
  </r>
  <r>
    <x v="20"/>
    <x v="1"/>
    <n v="2026"/>
    <x v="2"/>
    <x v="0"/>
    <x v="3"/>
    <x v="0"/>
    <n v="9"/>
    <x v="572"/>
    <n v="159123.77396672301"/>
    <x v="0"/>
    <s v="Duplicate"/>
    <n v="99095.226033276995"/>
    <s v="Sale"/>
  </r>
  <r>
    <x v="42"/>
    <x v="4"/>
    <n v="2026"/>
    <x v="1"/>
    <x v="0"/>
    <x v="3"/>
    <x v="5"/>
    <n v="2"/>
    <x v="573"/>
    <n v="37780.096328723397"/>
    <x v="0"/>
    <s v="Unique"/>
    <n v="18171.903671276603"/>
    <s v="Sale"/>
  </r>
  <r>
    <x v="182"/>
    <x v="1"/>
    <n v="2026"/>
    <x v="0"/>
    <x v="0"/>
    <x v="1"/>
    <x v="4"/>
    <n v="6"/>
    <x v="420"/>
    <n v="57369.9369178419"/>
    <x v="0"/>
    <s v="Unique"/>
    <n v="32912.0630821581"/>
    <s v="Sale"/>
  </r>
  <r>
    <x v="1"/>
    <x v="1"/>
    <n v="2026"/>
    <x v="0"/>
    <x v="0"/>
    <x v="0"/>
    <x v="5"/>
    <n v="7"/>
    <x v="574"/>
    <n v="122436.32951163901"/>
    <x v="0"/>
    <s v="Unique"/>
    <n v="54922.670488360993"/>
    <s v="Sale"/>
  </r>
  <r>
    <x v="18"/>
    <x v="5"/>
    <n v="2026"/>
    <x v="3"/>
    <x v="0"/>
    <x v="2"/>
    <x v="4"/>
    <n v="5"/>
    <x v="575"/>
    <n v="119055.74096645199"/>
    <x v="0"/>
    <s v="Unique"/>
    <n v="51289.259033548005"/>
    <s v="Sale"/>
  </r>
  <r>
    <x v="17"/>
    <x v="6"/>
    <n v="2026"/>
    <x v="1"/>
    <x v="0"/>
    <x v="1"/>
    <x v="2"/>
    <n v="10"/>
    <x v="576"/>
    <n v="293389.48864746297"/>
    <x v="0"/>
    <s v="Unique"/>
    <n v="171730.51135253703"/>
    <s v="Sale"/>
  </r>
  <r>
    <x v="92"/>
    <x v="0"/>
    <n v="2026"/>
    <x v="2"/>
    <x v="0"/>
    <x v="3"/>
    <x v="0"/>
    <n v="5"/>
    <x v="577"/>
    <n v="158674.275235421"/>
    <x v="0"/>
    <s v="Unique"/>
    <n v="68275.724764579005"/>
    <s v="Sale"/>
  </r>
  <r>
    <x v="178"/>
    <x v="4"/>
    <n v="2026"/>
    <x v="1"/>
    <x v="0"/>
    <x v="3"/>
    <x v="4"/>
    <n v="7"/>
    <x v="578"/>
    <n v="137985.35971619701"/>
    <x v="0"/>
    <s v="Unique"/>
    <n v="82500.64028380299"/>
    <s v="Sale"/>
  </r>
  <r>
    <x v="75"/>
    <x v="4"/>
    <n v="2026"/>
    <x v="0"/>
    <x v="0"/>
    <x v="1"/>
    <x v="2"/>
    <n v="7"/>
    <x v="579"/>
    <n v="47305.654114457298"/>
    <x v="0"/>
    <s v="Unique"/>
    <n v="28385.345885542702"/>
    <s v="Sale"/>
  </r>
  <r>
    <x v="55"/>
    <x v="4"/>
    <n v="2026"/>
    <x v="6"/>
    <x v="0"/>
    <x v="3"/>
    <x v="2"/>
    <n v="9"/>
    <x v="580"/>
    <n v="77425.542186956096"/>
    <x v="0"/>
    <s v="Unique"/>
    <n v="32761.457813043904"/>
    <s v="Sale"/>
  </r>
  <r>
    <x v="170"/>
    <x v="0"/>
    <n v="2026"/>
    <x v="5"/>
    <x v="1"/>
    <x v="0"/>
    <x v="4"/>
    <n v="1"/>
    <x v="581"/>
    <n v="21082.456210235199"/>
    <x v="0"/>
    <s v="Unique"/>
    <n v="19613.543789764801"/>
    <s v="Sale"/>
  </r>
  <r>
    <x v="129"/>
    <x v="6"/>
    <n v="2026"/>
    <x v="3"/>
    <x v="0"/>
    <x v="2"/>
    <x v="2"/>
    <n v="6"/>
    <x v="582"/>
    <n v="101391.001192854"/>
    <x v="0"/>
    <s v="Unique"/>
    <n v="51128.998807145996"/>
    <s v="Sale"/>
  </r>
  <r>
    <x v="64"/>
    <x v="5"/>
    <n v="2026"/>
    <x v="1"/>
    <x v="0"/>
    <x v="0"/>
    <x v="4"/>
    <n v="6"/>
    <x v="583"/>
    <n v="39998.974999938997"/>
    <x v="0"/>
    <s v="Unique"/>
    <n v="38757.025000061003"/>
    <s v="Sale"/>
  </r>
  <r>
    <x v="84"/>
    <x v="4"/>
    <n v="2026"/>
    <x v="1"/>
    <x v="0"/>
    <x v="3"/>
    <x v="1"/>
    <n v="1"/>
    <x v="584"/>
    <n v="14807.854434950799"/>
    <x v="0"/>
    <s v="Unique"/>
    <n v="7935.1455650492007"/>
    <s v="Sale"/>
  </r>
  <r>
    <x v="56"/>
    <x v="6"/>
    <n v="2026"/>
    <x v="3"/>
    <x v="0"/>
    <x v="0"/>
    <x v="0"/>
    <n v="10"/>
    <x v="585"/>
    <n v="139579.23076223501"/>
    <x v="0"/>
    <s v="Unique"/>
    <n v="76710.769237764995"/>
    <s v="Sale"/>
  </r>
  <r>
    <x v="193"/>
    <x v="6"/>
    <n v="2026"/>
    <x v="5"/>
    <x v="1"/>
    <x v="0"/>
    <x v="4"/>
    <n v="5"/>
    <x v="586"/>
    <n v="130794.30952747101"/>
    <x v="0"/>
    <s v="Unique"/>
    <n v="67135.690472528993"/>
    <s v="Sale"/>
  </r>
  <r>
    <x v="146"/>
    <x v="4"/>
    <n v="2026"/>
    <x v="5"/>
    <x v="1"/>
    <x v="0"/>
    <x v="4"/>
    <n v="10"/>
    <x v="587"/>
    <n v="253980.20686265099"/>
    <x v="0"/>
    <s v="Unique"/>
    <n v="114049.79313734901"/>
    <s v="Sale"/>
  </r>
  <r>
    <x v="59"/>
    <x v="5"/>
    <n v="2026"/>
    <x v="0"/>
    <x v="0"/>
    <x v="0"/>
    <x v="0"/>
    <n v="7"/>
    <x v="588"/>
    <n v="119233.452379061"/>
    <x v="0"/>
    <s v="Unique"/>
    <n v="79321.547620939004"/>
    <s v="Sale"/>
  </r>
  <r>
    <x v="86"/>
    <x v="6"/>
    <n v="2026"/>
    <x v="4"/>
    <x v="1"/>
    <x v="3"/>
    <x v="0"/>
    <n v="8"/>
    <x v="589"/>
    <n v="136891.902916889"/>
    <x v="0"/>
    <s v="Unique"/>
    <n v="19580.097083111003"/>
    <s v="Sale"/>
  </r>
  <r>
    <x v="33"/>
    <x v="1"/>
    <n v="2026"/>
    <x v="1"/>
    <x v="0"/>
    <x v="1"/>
    <x v="3"/>
    <n v="8"/>
    <x v="590"/>
    <n v="55713.755068011698"/>
    <x v="0"/>
    <s v="Unique"/>
    <n v="37742.244931988302"/>
    <s v="Sale"/>
  </r>
  <r>
    <x v="172"/>
    <x v="1"/>
    <n v="2026"/>
    <x v="1"/>
    <x v="0"/>
    <x v="1"/>
    <x v="2"/>
    <n v="5"/>
    <x v="591"/>
    <n v="78917.087329162896"/>
    <x v="0"/>
    <s v="Duplicate"/>
    <n v="25137.912670837104"/>
    <s v="Sale"/>
  </r>
  <r>
    <x v="81"/>
    <x v="6"/>
    <n v="2026"/>
    <x v="1"/>
    <x v="0"/>
    <x v="1"/>
    <x v="3"/>
    <n v="8"/>
    <x v="592"/>
    <n v="195808.58753956799"/>
    <x v="0"/>
    <s v="Unique"/>
    <n v="74671.41246043201"/>
    <s v="Sale"/>
  </r>
  <r>
    <x v="109"/>
    <x v="2"/>
    <n v="2026"/>
    <x v="2"/>
    <x v="0"/>
    <x v="0"/>
    <x v="5"/>
    <n v="9"/>
    <x v="20"/>
    <n v="92287.721818681006"/>
    <x v="1"/>
    <s v="Unique"/>
    <n v="-92287.721818681006"/>
    <s v="Sale"/>
  </r>
  <r>
    <x v="7"/>
    <x v="6"/>
    <n v="2026"/>
    <x v="6"/>
    <x v="0"/>
    <x v="0"/>
    <x v="4"/>
    <n v="7"/>
    <x v="593"/>
    <n v="138918.44285741"/>
    <x v="0"/>
    <s v="Unique"/>
    <n v="41807.557142589998"/>
    <s v="Sale"/>
  </r>
  <r>
    <x v="130"/>
    <x v="2"/>
    <n v="2026"/>
    <x v="6"/>
    <x v="0"/>
    <x v="2"/>
    <x v="1"/>
    <n v="10"/>
    <x v="594"/>
    <n v="218801.41965082899"/>
    <x v="0"/>
    <s v="Unique"/>
    <n v="145428.58034917101"/>
    <s v="Sale"/>
  </r>
  <r>
    <x v="21"/>
    <x v="5"/>
    <n v="2026"/>
    <x v="3"/>
    <x v="0"/>
    <x v="1"/>
    <x v="2"/>
    <n v="4"/>
    <x v="595"/>
    <n v="24867.687234597099"/>
    <x v="0"/>
    <s v="Duplicate"/>
    <n v="20952.312765402901"/>
    <s v="Sale"/>
  </r>
  <r>
    <x v="135"/>
    <x v="4"/>
    <n v="2026"/>
    <x v="6"/>
    <x v="0"/>
    <x v="0"/>
    <x v="5"/>
    <n v="2"/>
    <x v="596"/>
    <n v="32669.630240054099"/>
    <x v="0"/>
    <s v="Unique"/>
    <n v="12812.369759945901"/>
    <s v="Sale"/>
  </r>
  <r>
    <x v="29"/>
    <x v="2"/>
    <n v="2026"/>
    <x v="2"/>
    <x v="0"/>
    <x v="0"/>
    <x v="4"/>
    <n v="10"/>
    <x v="597"/>
    <n v="35814.383078652099"/>
    <x v="0"/>
    <s v="Unique"/>
    <n v="6995.6169213479006"/>
    <s v="Sale"/>
  </r>
  <r>
    <x v="31"/>
    <x v="0"/>
    <n v="2026"/>
    <x v="5"/>
    <x v="1"/>
    <x v="0"/>
    <x v="5"/>
    <n v="2"/>
    <x v="598"/>
    <n v="62754.9528090604"/>
    <x v="0"/>
    <s v="Unique"/>
    <n v="11355.0471909396"/>
    <s v="Sale"/>
  </r>
  <r>
    <x v="194"/>
    <x v="1"/>
    <n v="2026"/>
    <x v="5"/>
    <x v="1"/>
    <x v="2"/>
    <x v="0"/>
    <n v="5"/>
    <x v="599"/>
    <n v="66602.724064608294"/>
    <x v="0"/>
    <s v="Unique"/>
    <n v="12332.275935391706"/>
    <s v="Sale"/>
  </r>
  <r>
    <x v="11"/>
    <x v="0"/>
    <n v="2026"/>
    <x v="2"/>
    <x v="0"/>
    <x v="2"/>
    <x v="2"/>
    <n v="8"/>
    <x v="600"/>
    <n v="202417.72383784599"/>
    <x v="0"/>
    <s v="Unique"/>
    <n v="30086.276162154012"/>
    <s v="Sale"/>
  </r>
  <r>
    <x v="56"/>
    <x v="6"/>
    <n v="2026"/>
    <x v="6"/>
    <x v="0"/>
    <x v="2"/>
    <x v="3"/>
    <n v="7"/>
    <x v="601"/>
    <n v="229765.03735426901"/>
    <x v="0"/>
    <s v="Unique"/>
    <n v="60454.962645730993"/>
    <s v="Sale"/>
  </r>
  <r>
    <x v="17"/>
    <x v="6"/>
    <n v="2026"/>
    <x v="3"/>
    <x v="0"/>
    <x v="1"/>
    <x v="4"/>
    <n v="7"/>
    <x v="602"/>
    <n v="79477.477187496494"/>
    <x v="0"/>
    <s v="Unique"/>
    <n v="26306.522812503506"/>
    <s v="Sale"/>
  </r>
  <r>
    <x v="101"/>
    <x v="4"/>
    <n v="2026"/>
    <x v="0"/>
    <x v="0"/>
    <x v="1"/>
    <x v="1"/>
    <n v="7"/>
    <x v="603"/>
    <n v="109251.985828224"/>
    <x v="0"/>
    <s v="Unique"/>
    <n v="51272.014171775998"/>
    <s v="Sale"/>
  </r>
  <r>
    <x v="150"/>
    <x v="0"/>
    <n v="2026"/>
    <x v="4"/>
    <x v="1"/>
    <x v="2"/>
    <x v="2"/>
    <n v="6"/>
    <x v="604"/>
    <n v="54905.853579271097"/>
    <x v="0"/>
    <s v="Unique"/>
    <n v="28614.146420728903"/>
    <s v="Sale"/>
  </r>
  <r>
    <x v="162"/>
    <x v="6"/>
    <n v="2026"/>
    <x v="0"/>
    <x v="0"/>
    <x v="1"/>
    <x v="4"/>
    <n v="8"/>
    <x v="605"/>
    <m/>
    <x v="1"/>
    <s v="Unique"/>
    <n v="119944"/>
    <s v="Sale"/>
  </r>
  <r>
    <x v="159"/>
    <x v="0"/>
    <n v="2026"/>
    <x v="5"/>
    <x v="1"/>
    <x v="1"/>
    <x v="1"/>
    <n v="2"/>
    <x v="606"/>
    <n v="4606.4852117781302"/>
    <x v="0"/>
    <s v="Unique"/>
    <n v="1243.5147882218698"/>
    <s v="Sale"/>
  </r>
  <r>
    <x v="132"/>
    <x v="0"/>
    <n v="2026"/>
    <x v="4"/>
    <x v="1"/>
    <x v="1"/>
    <x v="3"/>
    <n v="5"/>
    <x v="607"/>
    <n v="112237.695635734"/>
    <x v="0"/>
    <s v="Unique"/>
    <n v="59687.304364266005"/>
    <s v="Sale"/>
  </r>
  <r>
    <x v="96"/>
    <x v="5"/>
    <n v="2026"/>
    <x v="4"/>
    <x v="1"/>
    <x v="3"/>
    <x v="0"/>
    <n v="1"/>
    <x v="608"/>
    <n v="18715.504691167102"/>
    <x v="0"/>
    <s v="Unique"/>
    <n v="2302.4953088328984"/>
    <s v="Sale"/>
  </r>
  <r>
    <x v="9"/>
    <x v="4"/>
    <n v="2026"/>
    <x v="1"/>
    <x v="0"/>
    <x v="3"/>
    <x v="0"/>
    <n v="6"/>
    <x v="609"/>
    <n v="187493.04468187899"/>
    <x v="0"/>
    <s v="Unique"/>
    <n v="97008.955318121007"/>
    <s v="Sale"/>
  </r>
  <r>
    <x v="187"/>
    <x v="0"/>
    <n v="2026"/>
    <x v="1"/>
    <x v="0"/>
    <x v="2"/>
    <x v="3"/>
    <n v="4"/>
    <x v="610"/>
    <n v="113481.277915828"/>
    <x v="0"/>
    <s v="Unique"/>
    <n v="17970.722084171997"/>
    <s v="Sale"/>
  </r>
  <r>
    <x v="159"/>
    <x v="0"/>
    <n v="2026"/>
    <x v="1"/>
    <x v="0"/>
    <x v="0"/>
    <x v="1"/>
    <n v="10"/>
    <x v="611"/>
    <n v="167453.44337951901"/>
    <x v="0"/>
    <s v="Unique"/>
    <n v="102196.55662048099"/>
    <s v="Sale"/>
  </r>
  <r>
    <x v="110"/>
    <x v="4"/>
    <n v="2026"/>
    <x v="4"/>
    <x v="1"/>
    <x v="0"/>
    <x v="0"/>
    <n v="9"/>
    <x v="612"/>
    <n v="269211.07233999198"/>
    <x v="0"/>
    <s v="Unique"/>
    <n v="39470.927660008019"/>
    <s v="Sale"/>
  </r>
  <r>
    <x v="41"/>
    <x v="4"/>
    <n v="2026"/>
    <x v="5"/>
    <x v="1"/>
    <x v="2"/>
    <x v="0"/>
    <n v="8"/>
    <x v="613"/>
    <n v="130513.80496636601"/>
    <x v="0"/>
    <s v="Unique"/>
    <n v="32806.195033633994"/>
    <s v="Sale"/>
  </r>
  <r>
    <x v="111"/>
    <x v="0"/>
    <n v="2026"/>
    <x v="6"/>
    <x v="0"/>
    <x v="0"/>
    <x v="2"/>
    <n v="3"/>
    <x v="614"/>
    <n v="54072.248945847801"/>
    <x v="0"/>
    <s v="Unique"/>
    <n v="13964.751054152199"/>
    <s v="Sale"/>
  </r>
  <r>
    <x v="72"/>
    <x v="0"/>
    <n v="2026"/>
    <x v="4"/>
    <x v="1"/>
    <x v="1"/>
    <x v="4"/>
    <n v="4"/>
    <x v="615"/>
    <n v="28807.4291181851"/>
    <x v="0"/>
    <s v="Unique"/>
    <n v="27200.5708818149"/>
    <s v="Sale"/>
  </r>
  <r>
    <x v="104"/>
    <x v="9"/>
    <n v="2026"/>
    <x v="5"/>
    <x v="1"/>
    <x v="3"/>
    <x v="2"/>
    <n v="8"/>
    <x v="616"/>
    <n v="62855.030480328198"/>
    <x v="0"/>
    <s v="Unique"/>
    <n v="12120.969519671802"/>
    <s v="Sale"/>
  </r>
  <r>
    <x v="96"/>
    <x v="5"/>
    <n v="2026"/>
    <x v="4"/>
    <x v="1"/>
    <x v="0"/>
    <x v="1"/>
    <n v="10"/>
    <x v="617"/>
    <n v="116752.963668204"/>
    <x v="0"/>
    <s v="Unique"/>
    <n v="42437.036331796"/>
    <s v="Sale"/>
  </r>
  <r>
    <x v="73"/>
    <x v="1"/>
    <n v="2026"/>
    <x v="3"/>
    <x v="0"/>
    <x v="2"/>
    <x v="3"/>
    <n v="1"/>
    <x v="618"/>
    <n v="15937.1894695309"/>
    <x v="0"/>
    <s v="Unique"/>
    <n v="4692.8105304690998"/>
    <s v="Sale"/>
  </r>
  <r>
    <x v="40"/>
    <x v="6"/>
    <n v="2026"/>
    <x v="1"/>
    <x v="0"/>
    <x v="3"/>
    <x v="5"/>
    <n v="8"/>
    <x v="619"/>
    <n v="190877.10918715899"/>
    <x v="0"/>
    <s v="Unique"/>
    <n v="63170.890812841011"/>
    <s v="Sale"/>
  </r>
  <r>
    <x v="125"/>
    <x v="6"/>
    <n v="2026"/>
    <x v="5"/>
    <x v="1"/>
    <x v="1"/>
    <x v="0"/>
    <n v="1"/>
    <x v="620"/>
    <n v="27090.976442700601"/>
    <x v="0"/>
    <s v="Unique"/>
    <n v="17090.023557299399"/>
    <s v="Sale"/>
  </r>
  <r>
    <x v="145"/>
    <x v="0"/>
    <n v="2026"/>
    <x v="4"/>
    <x v="1"/>
    <x v="1"/>
    <x v="2"/>
    <n v="2"/>
    <x v="621"/>
    <n v="5624.1955730932696"/>
    <x v="0"/>
    <s v="Unique"/>
    <n v="1063.8044269067304"/>
    <s v="Sale"/>
  </r>
  <r>
    <x v="123"/>
    <x v="0"/>
    <n v="2026"/>
    <x v="5"/>
    <x v="1"/>
    <x v="3"/>
    <x v="2"/>
    <n v="5"/>
    <x v="622"/>
    <n v="173818.79902513101"/>
    <x v="0"/>
    <s v="Unique"/>
    <n v="60626.200974868989"/>
    <s v="Sale"/>
  </r>
  <r>
    <x v="152"/>
    <x v="2"/>
    <n v="2026"/>
    <x v="3"/>
    <x v="0"/>
    <x v="0"/>
    <x v="1"/>
    <n v="10"/>
    <x v="623"/>
    <n v="159357.79823766401"/>
    <x v="0"/>
    <s v="Unique"/>
    <n v="137902.20176233599"/>
    <s v="Sale"/>
  </r>
  <r>
    <x v="39"/>
    <x v="0"/>
    <n v="2026"/>
    <x v="5"/>
    <x v="1"/>
    <x v="3"/>
    <x v="5"/>
    <n v="4"/>
    <x v="624"/>
    <n v="137677.260624202"/>
    <x v="0"/>
    <s v="Unique"/>
    <n v="40086.739375798003"/>
    <s v="Sale"/>
  </r>
  <r>
    <x v="122"/>
    <x v="4"/>
    <n v="2026"/>
    <x v="3"/>
    <x v="0"/>
    <x v="3"/>
    <x v="4"/>
    <n v="8"/>
    <x v="625"/>
    <n v="97056.5804712549"/>
    <x v="0"/>
    <s v="Unique"/>
    <n v="76431.4195287451"/>
    <s v="Sale"/>
  </r>
  <r>
    <x v="121"/>
    <x v="4"/>
    <n v="2026"/>
    <x v="6"/>
    <x v="0"/>
    <x v="2"/>
    <x v="4"/>
    <n v="9"/>
    <x v="626"/>
    <n v="57381.043648885701"/>
    <x v="0"/>
    <s v="Unique"/>
    <n v="24095.956351114299"/>
    <s v="Sale"/>
  </r>
  <r>
    <x v="58"/>
    <x v="5"/>
    <n v="2026"/>
    <x v="2"/>
    <x v="0"/>
    <x v="2"/>
    <x v="4"/>
    <n v="8"/>
    <x v="627"/>
    <m/>
    <x v="1"/>
    <s v="Unique"/>
    <n v="110136"/>
    <s v="Sale"/>
  </r>
  <r>
    <x v="65"/>
    <x v="0"/>
    <n v="2026"/>
    <x v="3"/>
    <x v="0"/>
    <x v="3"/>
    <x v="1"/>
    <n v="5"/>
    <x v="628"/>
    <n v="108038.48116952799"/>
    <x v="0"/>
    <s v="Unique"/>
    <n v="13806.518830472007"/>
    <s v="Sale"/>
  </r>
  <r>
    <x v="145"/>
    <x v="0"/>
    <n v="2026"/>
    <x v="3"/>
    <x v="0"/>
    <x v="2"/>
    <x v="4"/>
    <n v="7"/>
    <x v="629"/>
    <n v="34120.341278022199"/>
    <x v="0"/>
    <s v="Duplicate"/>
    <n v="33401.658721977801"/>
    <s v="Sale"/>
  </r>
  <r>
    <x v="72"/>
    <x v="0"/>
    <n v="2026"/>
    <x v="3"/>
    <x v="0"/>
    <x v="0"/>
    <x v="1"/>
    <n v="10"/>
    <x v="630"/>
    <n v="199034.32468760901"/>
    <x v="0"/>
    <s v="Unique"/>
    <n v="57365.675312390988"/>
    <s v="Sale"/>
  </r>
  <r>
    <x v="161"/>
    <x v="6"/>
    <n v="2026"/>
    <x v="1"/>
    <x v="0"/>
    <x v="1"/>
    <x v="4"/>
    <n v="1"/>
    <x v="631"/>
    <n v="42292.030846274298"/>
    <x v="0"/>
    <s v="Unique"/>
    <n v="5322.9691537257022"/>
    <s v="Sale"/>
  </r>
  <r>
    <x v="67"/>
    <x v="0"/>
    <n v="2026"/>
    <x v="2"/>
    <x v="0"/>
    <x v="1"/>
    <x v="4"/>
    <n v="5"/>
    <x v="632"/>
    <n v="90520.0403016731"/>
    <x v="0"/>
    <s v="Unique"/>
    <n v="71334.9596983269"/>
    <s v="Sale"/>
  </r>
  <r>
    <x v="195"/>
    <x v="0"/>
    <n v="2026"/>
    <x v="1"/>
    <x v="0"/>
    <x v="3"/>
    <x v="1"/>
    <n v="4"/>
    <x v="633"/>
    <n v="37555.469432901402"/>
    <x v="0"/>
    <s v="Unique"/>
    <n v="23220.530567098598"/>
    <s v="Sale"/>
  </r>
  <r>
    <x v="147"/>
    <x v="6"/>
    <n v="2026"/>
    <x v="3"/>
    <x v="0"/>
    <x v="3"/>
    <x v="5"/>
    <n v="10"/>
    <x v="634"/>
    <m/>
    <x v="1"/>
    <s v="Unique"/>
    <n v="410480"/>
    <s v="Sale"/>
  </r>
  <r>
    <x v="63"/>
    <x v="4"/>
    <n v="2026"/>
    <x v="0"/>
    <x v="0"/>
    <x v="3"/>
    <x v="0"/>
    <n v="1"/>
    <x v="635"/>
    <n v="18590.1227890255"/>
    <x v="0"/>
    <s v="Unique"/>
    <n v="18032.8772109745"/>
    <s v="Sale"/>
  </r>
  <r>
    <x v="77"/>
    <x v="0"/>
    <n v="2026"/>
    <x v="3"/>
    <x v="0"/>
    <x v="0"/>
    <x v="2"/>
    <n v="7"/>
    <x v="636"/>
    <n v="13289.6801707955"/>
    <x v="0"/>
    <s v="Unique"/>
    <n v="10251.3198292045"/>
    <s v="Sale"/>
  </r>
  <r>
    <x v="27"/>
    <x v="4"/>
    <n v="2026"/>
    <x v="5"/>
    <x v="1"/>
    <x v="3"/>
    <x v="0"/>
    <n v="5"/>
    <x v="637"/>
    <n v="193714.246504654"/>
    <x v="0"/>
    <s v="Unique"/>
    <n v="53195.753495345998"/>
    <s v="Sale"/>
  </r>
  <r>
    <x v="137"/>
    <x v="1"/>
    <n v="2026"/>
    <x v="2"/>
    <x v="0"/>
    <x v="1"/>
    <x v="1"/>
    <n v="4"/>
    <x v="638"/>
    <n v="63689.0358809584"/>
    <x v="0"/>
    <s v="Unique"/>
    <n v="18354.9641190416"/>
    <s v="Sale"/>
  </r>
  <r>
    <x v="109"/>
    <x v="2"/>
    <n v="2026"/>
    <x v="3"/>
    <x v="0"/>
    <x v="3"/>
    <x v="3"/>
    <n v="4"/>
    <x v="639"/>
    <n v="45459.855652926497"/>
    <x v="0"/>
    <s v="Unique"/>
    <n v="17440.144347073503"/>
    <s v="Sale"/>
  </r>
  <r>
    <x v="36"/>
    <x v="0"/>
    <n v="2026"/>
    <x v="2"/>
    <x v="0"/>
    <x v="2"/>
    <x v="4"/>
    <n v="6"/>
    <x v="640"/>
    <n v="98929.238435668303"/>
    <x v="0"/>
    <s v="Unique"/>
    <n v="82396.761564331697"/>
    <s v="Sale"/>
  </r>
  <r>
    <x v="91"/>
    <x v="5"/>
    <n v="2026"/>
    <x v="2"/>
    <x v="0"/>
    <x v="0"/>
    <x v="0"/>
    <n v="9"/>
    <x v="641"/>
    <n v="287476.02720744198"/>
    <x v="0"/>
    <s v="Unique"/>
    <n v="86941.972792558023"/>
    <s v="Sale"/>
  </r>
  <r>
    <x v="32"/>
    <x v="1"/>
    <n v="2026"/>
    <x v="1"/>
    <x v="0"/>
    <x v="2"/>
    <x v="1"/>
    <n v="1"/>
    <x v="642"/>
    <n v="19109.127623151799"/>
    <x v="0"/>
    <s v="Unique"/>
    <n v="16136.872376848201"/>
    <s v="Sale"/>
  </r>
  <r>
    <x v="109"/>
    <x v="2"/>
    <n v="2026"/>
    <x v="2"/>
    <x v="0"/>
    <x v="3"/>
    <x v="5"/>
    <n v="2"/>
    <x v="643"/>
    <n v="18380.554376800101"/>
    <x v="0"/>
    <s v="Unique"/>
    <n v="5841.4456231998993"/>
    <s v="Sale"/>
  </r>
  <r>
    <x v="94"/>
    <x v="1"/>
    <n v="2026"/>
    <x v="1"/>
    <x v="0"/>
    <x v="1"/>
    <x v="2"/>
    <n v="6"/>
    <x v="644"/>
    <n v="87577.038156811104"/>
    <x v="0"/>
    <s v="Unique"/>
    <n v="37174.961843188896"/>
    <s v="Sale"/>
  </r>
  <r>
    <x v="137"/>
    <x v="1"/>
    <n v="2026"/>
    <x v="2"/>
    <x v="0"/>
    <x v="3"/>
    <x v="0"/>
    <n v="3"/>
    <x v="645"/>
    <n v="60088.336479048303"/>
    <x v="0"/>
    <s v="Unique"/>
    <n v="30220.663520951697"/>
    <s v="Sale"/>
  </r>
  <r>
    <x v="157"/>
    <x v="0"/>
    <n v="2026"/>
    <x v="4"/>
    <x v="1"/>
    <x v="2"/>
    <x v="5"/>
    <n v="9"/>
    <x v="646"/>
    <n v="31522.122314373901"/>
    <x v="0"/>
    <s v="Unique"/>
    <n v="27517.877685626099"/>
    <s v="Sale"/>
  </r>
  <r>
    <x v="115"/>
    <x v="6"/>
    <n v="2026"/>
    <x v="0"/>
    <x v="0"/>
    <x v="1"/>
    <x v="1"/>
    <n v="1"/>
    <x v="647"/>
    <n v="38707.373086804801"/>
    <x v="0"/>
    <s v="Duplicate"/>
    <n v="4685.6269131951994"/>
    <s v="Sale"/>
  </r>
  <r>
    <x v="45"/>
    <x v="1"/>
    <n v="2026"/>
    <x v="6"/>
    <x v="0"/>
    <x v="0"/>
    <x v="5"/>
    <n v="6"/>
    <x v="648"/>
    <n v="74127.675459484599"/>
    <x v="0"/>
    <s v="Unique"/>
    <n v="73196.324540515401"/>
    <s v="Sale"/>
  </r>
  <r>
    <x v="195"/>
    <x v="0"/>
    <n v="2026"/>
    <x v="6"/>
    <x v="0"/>
    <x v="3"/>
    <x v="5"/>
    <n v="6"/>
    <x v="649"/>
    <n v="176764.742382533"/>
    <x v="0"/>
    <s v="Unique"/>
    <n v="90331.257617466996"/>
    <s v="Sale"/>
  </r>
  <r>
    <x v="43"/>
    <x v="5"/>
    <n v="2026"/>
    <x v="4"/>
    <x v="1"/>
    <x v="0"/>
    <x v="0"/>
    <n v="2"/>
    <x v="650"/>
    <n v="51216.8438964542"/>
    <x v="0"/>
    <s v="Unique"/>
    <n v="19847.1561035458"/>
    <s v="Sale"/>
  </r>
  <r>
    <x v="196"/>
    <x v="6"/>
    <n v="2026"/>
    <x v="5"/>
    <x v="1"/>
    <x v="1"/>
    <x v="3"/>
    <n v="7"/>
    <x v="651"/>
    <n v="133753.75063099401"/>
    <x v="0"/>
    <s v="Unique"/>
    <n v="112037.24936900599"/>
    <s v="Sale"/>
  </r>
  <r>
    <x v="119"/>
    <x v="6"/>
    <n v="2026"/>
    <x v="2"/>
    <x v="0"/>
    <x v="2"/>
    <x v="2"/>
    <n v="5"/>
    <x v="652"/>
    <n v="157021.44272783399"/>
    <x v="0"/>
    <s v="Unique"/>
    <n v="40553.557272166014"/>
    <s v="Sale"/>
  </r>
  <r>
    <x v="146"/>
    <x v="4"/>
    <n v="2026"/>
    <x v="0"/>
    <x v="0"/>
    <x v="1"/>
    <x v="3"/>
    <n v="5"/>
    <x v="653"/>
    <n v="79157.392510153993"/>
    <x v="0"/>
    <s v="Unique"/>
    <n v="24077.607489846007"/>
    <s v="Sale"/>
  </r>
  <r>
    <x v="50"/>
    <x v="1"/>
    <n v="2026"/>
    <x v="5"/>
    <x v="1"/>
    <x v="1"/>
    <x v="3"/>
    <n v="8"/>
    <x v="654"/>
    <n v="37633.199831884398"/>
    <x v="0"/>
    <s v="Unique"/>
    <n v="29734.800168115602"/>
    <s v="Sale"/>
  </r>
  <r>
    <x v="1"/>
    <x v="1"/>
    <n v="2026"/>
    <x v="3"/>
    <x v="0"/>
    <x v="2"/>
    <x v="3"/>
    <n v="9"/>
    <x v="655"/>
    <n v="187901.89620315999"/>
    <x v="0"/>
    <s v="Unique"/>
    <n v="67644.103796840005"/>
    <s v="Sale"/>
  </r>
  <r>
    <x v="8"/>
    <x v="4"/>
    <n v="2026"/>
    <x v="0"/>
    <x v="0"/>
    <x v="3"/>
    <x v="5"/>
    <n v="7"/>
    <x v="656"/>
    <n v="49473.633468059299"/>
    <x v="0"/>
    <s v="Duplicate"/>
    <n v="39230.366531940701"/>
    <s v="Sale"/>
  </r>
  <r>
    <x v="65"/>
    <x v="0"/>
    <n v="2026"/>
    <x v="0"/>
    <x v="0"/>
    <x v="1"/>
    <x v="2"/>
    <n v="8"/>
    <x v="657"/>
    <n v="26424.027909676701"/>
    <x v="0"/>
    <s v="Unique"/>
    <n v="6663.9720903232992"/>
    <s v="Sale"/>
  </r>
  <r>
    <x v="145"/>
    <x v="0"/>
    <n v="2026"/>
    <x v="5"/>
    <x v="1"/>
    <x v="0"/>
    <x v="4"/>
    <n v="9"/>
    <x v="658"/>
    <n v="59312.961729169598"/>
    <x v="0"/>
    <s v="Unique"/>
    <n v="49101.038270830402"/>
    <s v="Sale"/>
  </r>
  <r>
    <x v="196"/>
    <x v="6"/>
    <n v="2026"/>
    <x v="6"/>
    <x v="0"/>
    <x v="3"/>
    <x v="4"/>
    <n v="5"/>
    <x v="659"/>
    <n v="60317.470390816903"/>
    <x v="0"/>
    <s v="Unique"/>
    <n v="42572.529609183097"/>
    <s v="Sale"/>
  </r>
  <r>
    <x v="97"/>
    <x v="5"/>
    <n v="2026"/>
    <x v="1"/>
    <x v="0"/>
    <x v="3"/>
    <x v="2"/>
    <n v="10"/>
    <x v="660"/>
    <n v="161937.09444183501"/>
    <x v="0"/>
    <s v="Unique"/>
    <n v="61022.905558164988"/>
    <s v="Sale"/>
  </r>
  <r>
    <x v="55"/>
    <x v="4"/>
    <n v="2026"/>
    <x v="4"/>
    <x v="1"/>
    <x v="3"/>
    <x v="2"/>
    <n v="8"/>
    <x v="661"/>
    <n v="79662.632751342404"/>
    <x v="0"/>
    <s v="Unique"/>
    <n v="14441.367248657596"/>
    <s v="Sale"/>
  </r>
  <r>
    <x v="30"/>
    <x v="1"/>
    <n v="2026"/>
    <x v="5"/>
    <x v="1"/>
    <x v="2"/>
    <x v="5"/>
    <n v="8"/>
    <x v="662"/>
    <n v="122418.571953495"/>
    <x v="0"/>
    <s v="Unique"/>
    <n v="39005.428046504996"/>
    <s v="Sale"/>
  </r>
  <r>
    <x v="64"/>
    <x v="5"/>
    <n v="2026"/>
    <x v="6"/>
    <x v="0"/>
    <x v="2"/>
    <x v="0"/>
    <n v="10"/>
    <x v="663"/>
    <n v="274094.10427696601"/>
    <x v="0"/>
    <s v="Unique"/>
    <n v="100995.89572303399"/>
    <s v="Sale"/>
  </r>
  <r>
    <x v="42"/>
    <x v="4"/>
    <n v="2026"/>
    <x v="0"/>
    <x v="0"/>
    <x v="1"/>
    <x v="4"/>
    <n v="5"/>
    <x v="664"/>
    <n v="46315.010072043799"/>
    <x v="0"/>
    <s v="Unique"/>
    <n v="31119.989927956201"/>
    <s v="Sale"/>
  </r>
  <r>
    <x v="136"/>
    <x v="4"/>
    <n v="2026"/>
    <x v="1"/>
    <x v="0"/>
    <x v="3"/>
    <x v="4"/>
    <n v="6"/>
    <x v="20"/>
    <n v="105193.836709385"/>
    <x v="1"/>
    <s v="Unique"/>
    <n v="-105193.836709385"/>
    <s v="Sale"/>
  </r>
  <r>
    <x v="106"/>
    <x v="6"/>
    <n v="2026"/>
    <x v="1"/>
    <x v="0"/>
    <x v="1"/>
    <x v="3"/>
    <n v="3"/>
    <x v="665"/>
    <n v="25240.922727861798"/>
    <x v="0"/>
    <s v="Unique"/>
    <n v="16672.077272138202"/>
    <s v="Sale"/>
  </r>
  <r>
    <x v="87"/>
    <x v="2"/>
    <n v="2026"/>
    <x v="5"/>
    <x v="1"/>
    <x v="1"/>
    <x v="4"/>
    <n v="1"/>
    <x v="666"/>
    <n v="14123.816769027801"/>
    <x v="0"/>
    <s v="Unique"/>
    <n v="7407.1832309721995"/>
    <s v="Sale"/>
  </r>
  <r>
    <x v="50"/>
    <x v="1"/>
    <n v="2026"/>
    <x v="1"/>
    <x v="0"/>
    <x v="1"/>
    <x v="0"/>
    <n v="10"/>
    <x v="667"/>
    <n v="240252.640386799"/>
    <x v="0"/>
    <s v="Unique"/>
    <n v="163807.359613201"/>
    <s v="Sale"/>
  </r>
  <r>
    <x v="197"/>
    <x v="8"/>
    <n v="2026"/>
    <x v="3"/>
    <x v="0"/>
    <x v="3"/>
    <x v="4"/>
    <n v="8"/>
    <x v="668"/>
    <n v="20653.698615241199"/>
    <x v="0"/>
    <s v="Unique"/>
    <n v="10498.301384758801"/>
    <s v="Sale"/>
  </r>
  <r>
    <x v="135"/>
    <x v="4"/>
    <n v="2026"/>
    <x v="6"/>
    <x v="0"/>
    <x v="1"/>
    <x v="3"/>
    <n v="10"/>
    <x v="669"/>
    <n v="194400.270073547"/>
    <x v="0"/>
    <s v="Unique"/>
    <n v="92159.729926453001"/>
    <s v="Sale"/>
  </r>
  <r>
    <x v="78"/>
    <x v="2"/>
    <n v="2026"/>
    <x v="2"/>
    <x v="0"/>
    <x v="1"/>
    <x v="1"/>
    <n v="7"/>
    <x v="20"/>
    <n v="182885.53217100599"/>
    <x v="1"/>
    <s v="Unique"/>
    <n v="-182885.53217100599"/>
    <s v="Sale"/>
  </r>
  <r>
    <x v="108"/>
    <x v="5"/>
    <n v="2026"/>
    <x v="1"/>
    <x v="0"/>
    <x v="3"/>
    <x v="3"/>
    <n v="10"/>
    <x v="670"/>
    <n v="154137.33024860901"/>
    <x v="0"/>
    <s v="Unique"/>
    <n v="30282.669751390989"/>
    <s v="Sale"/>
  </r>
  <r>
    <x v="9"/>
    <x v="4"/>
    <n v="2026"/>
    <x v="4"/>
    <x v="1"/>
    <x v="2"/>
    <x v="3"/>
    <n v="2"/>
    <x v="671"/>
    <n v="43498.294654260797"/>
    <x v="0"/>
    <s v="Unique"/>
    <n v="12313.705345739203"/>
    <s v="Sale"/>
  </r>
  <r>
    <x v="85"/>
    <x v="1"/>
    <n v="2026"/>
    <x v="2"/>
    <x v="0"/>
    <x v="0"/>
    <x v="5"/>
    <n v="6"/>
    <x v="672"/>
    <n v="158243.075110562"/>
    <x v="0"/>
    <s v="Unique"/>
    <n v="103512.924889438"/>
    <s v="Sale"/>
  </r>
  <r>
    <x v="37"/>
    <x v="5"/>
    <n v="2026"/>
    <x v="6"/>
    <x v="0"/>
    <x v="0"/>
    <x v="4"/>
    <n v="3"/>
    <x v="673"/>
    <m/>
    <x v="1"/>
    <s v="Unique"/>
    <n v="-133095"/>
    <s v="Return"/>
  </r>
  <r>
    <x v="148"/>
    <x v="2"/>
    <n v="2026"/>
    <x v="0"/>
    <x v="0"/>
    <x v="3"/>
    <x v="2"/>
    <n v="9"/>
    <x v="674"/>
    <n v="53672.398953558601"/>
    <x v="0"/>
    <s v="Unique"/>
    <n v="12189.601046441399"/>
    <s v="Sale"/>
  </r>
  <r>
    <x v="31"/>
    <x v="0"/>
    <n v="2026"/>
    <x v="2"/>
    <x v="0"/>
    <x v="3"/>
    <x v="1"/>
    <n v="6"/>
    <x v="675"/>
    <n v="93666.829855607997"/>
    <x v="0"/>
    <s v="Unique"/>
    <n v="-257742.829855608"/>
    <s v="Return"/>
  </r>
  <r>
    <x v="76"/>
    <x v="1"/>
    <n v="2026"/>
    <x v="1"/>
    <x v="0"/>
    <x v="1"/>
    <x v="5"/>
    <n v="1"/>
    <x v="676"/>
    <n v="15771.8568350393"/>
    <x v="0"/>
    <s v="Unique"/>
    <n v="4652.1431649607002"/>
    <s v="Sale"/>
  </r>
  <r>
    <x v="88"/>
    <x v="0"/>
    <n v="2026"/>
    <x v="4"/>
    <x v="1"/>
    <x v="3"/>
    <x v="3"/>
    <n v="1"/>
    <x v="677"/>
    <n v="14220.8599278689"/>
    <x v="0"/>
    <s v="Unique"/>
    <n v="-34619.8599278689"/>
    <s v="Return"/>
  </r>
  <r>
    <x v="0"/>
    <x v="0"/>
    <n v="2026"/>
    <x v="6"/>
    <x v="0"/>
    <x v="3"/>
    <x v="0"/>
    <n v="9"/>
    <x v="678"/>
    <n v="101054.898412579"/>
    <x v="0"/>
    <s v="Unique"/>
    <n v="31227.101587420999"/>
    <s v="Sale"/>
  </r>
  <r>
    <x v="103"/>
    <x v="6"/>
    <n v="2026"/>
    <x v="4"/>
    <x v="1"/>
    <x v="0"/>
    <x v="1"/>
    <n v="4"/>
    <x v="679"/>
    <n v="114871.121393443"/>
    <x v="0"/>
    <s v="Unique"/>
    <n v="-259991.121393443"/>
    <s v="Return"/>
  </r>
  <r>
    <x v="82"/>
    <x v="0"/>
    <n v="2026"/>
    <x v="0"/>
    <x v="0"/>
    <x v="3"/>
    <x v="4"/>
    <n v="7"/>
    <x v="680"/>
    <n v="236958.20166466301"/>
    <x v="0"/>
    <s v="Unique"/>
    <n v="71083.798335336993"/>
    <s v="Sale"/>
  </r>
  <r>
    <x v="30"/>
    <x v="1"/>
    <n v="2026"/>
    <x v="3"/>
    <x v="0"/>
    <x v="3"/>
    <x v="3"/>
    <n v="9"/>
    <x v="681"/>
    <n v="37240.827253902797"/>
    <x v="0"/>
    <s v="Unique"/>
    <n v="6391.1727460972033"/>
    <s v="Sale"/>
  </r>
  <r>
    <x v="79"/>
    <x v="1"/>
    <n v="2026"/>
    <x v="5"/>
    <x v="1"/>
    <x v="2"/>
    <x v="1"/>
    <n v="1"/>
    <x v="682"/>
    <n v="14960.3251712166"/>
    <x v="0"/>
    <s v="Unique"/>
    <n v="1825.6748287833998"/>
    <s v="Sale"/>
  </r>
  <r>
    <x v="191"/>
    <x v="2"/>
    <n v="2026"/>
    <x v="0"/>
    <x v="0"/>
    <x v="2"/>
    <x v="4"/>
    <n v="8"/>
    <x v="683"/>
    <n v="199602.094143202"/>
    <x v="0"/>
    <s v="Unique"/>
    <n v="42861.905856797996"/>
    <s v="Sale"/>
  </r>
  <r>
    <x v="58"/>
    <x v="5"/>
    <n v="2026"/>
    <x v="5"/>
    <x v="1"/>
    <x v="2"/>
    <x v="3"/>
    <n v="9"/>
    <x v="684"/>
    <n v="138311.948933343"/>
    <x v="0"/>
    <s v="Unique"/>
    <n v="19323.051066657004"/>
    <s v="Sale"/>
  </r>
  <r>
    <x v="88"/>
    <x v="0"/>
    <n v="2026"/>
    <x v="1"/>
    <x v="0"/>
    <x v="2"/>
    <x v="2"/>
    <n v="6"/>
    <x v="685"/>
    <n v="149723.85287920301"/>
    <x v="0"/>
    <s v="Unique"/>
    <n v="134916.14712079699"/>
    <s v="Sale"/>
  </r>
  <r>
    <x v="59"/>
    <x v="5"/>
    <n v="2026"/>
    <x v="1"/>
    <x v="0"/>
    <x v="2"/>
    <x v="1"/>
    <n v="1"/>
    <x v="686"/>
    <n v="17914.0769852468"/>
    <x v="0"/>
    <s v="Unique"/>
    <n v="3412.9230147531998"/>
    <s v="Sale"/>
  </r>
  <r>
    <x v="159"/>
    <x v="0"/>
    <n v="2026"/>
    <x v="3"/>
    <x v="0"/>
    <x v="3"/>
    <x v="2"/>
    <n v="7"/>
    <x v="687"/>
    <n v="223202.57740780601"/>
    <x v="0"/>
    <s v="Unique"/>
    <n v="75319.422592193994"/>
    <s v="Sale"/>
  </r>
  <r>
    <x v="20"/>
    <x v="1"/>
    <n v="2026"/>
    <x v="1"/>
    <x v="0"/>
    <x v="2"/>
    <x v="4"/>
    <n v="10"/>
    <x v="688"/>
    <n v="256900.09136053399"/>
    <x v="0"/>
    <s v="Unique"/>
    <n v="230559.90863946601"/>
    <s v="Sale"/>
  </r>
  <r>
    <x v="0"/>
    <x v="0"/>
    <n v="2026"/>
    <x v="3"/>
    <x v="0"/>
    <x v="3"/>
    <x v="0"/>
    <n v="4"/>
    <x v="689"/>
    <n v="36099.705579182402"/>
    <x v="0"/>
    <s v="Unique"/>
    <n v="7988.2944208175977"/>
    <s v="Sale"/>
  </r>
  <r>
    <x v="67"/>
    <x v="0"/>
    <n v="2026"/>
    <x v="6"/>
    <x v="0"/>
    <x v="1"/>
    <x v="0"/>
    <n v="8"/>
    <x v="690"/>
    <n v="131832.51592491401"/>
    <x v="0"/>
    <s v="Unique"/>
    <n v="45999.484075085988"/>
    <s v="Sale"/>
  </r>
  <r>
    <x v="72"/>
    <x v="0"/>
    <n v="2026"/>
    <x v="6"/>
    <x v="0"/>
    <x v="2"/>
    <x v="2"/>
    <n v="6"/>
    <x v="691"/>
    <n v="79117.724380529602"/>
    <x v="0"/>
    <s v="Unique"/>
    <n v="9718.2756194703979"/>
    <s v="Sale"/>
  </r>
  <r>
    <x v="167"/>
    <x v="2"/>
    <n v="2026"/>
    <x v="3"/>
    <x v="0"/>
    <x v="0"/>
    <x v="1"/>
    <n v="10"/>
    <x v="692"/>
    <n v="179123.507941402"/>
    <x v="0"/>
    <s v="Unique"/>
    <n v="60846.492058598"/>
    <s v="Sale"/>
  </r>
  <r>
    <x v="90"/>
    <x v="6"/>
    <n v="2026"/>
    <x v="0"/>
    <x v="0"/>
    <x v="1"/>
    <x v="5"/>
    <n v="4"/>
    <x v="693"/>
    <n v="97665.713044175704"/>
    <x v="0"/>
    <s v="Unique"/>
    <n v="32630.286955824296"/>
    <s v="Sale"/>
  </r>
  <r>
    <x v="100"/>
    <x v="5"/>
    <n v="2026"/>
    <x v="3"/>
    <x v="0"/>
    <x v="1"/>
    <x v="4"/>
    <n v="6"/>
    <x v="20"/>
    <n v="8412.5762481394504"/>
    <x v="1"/>
    <s v="Unique"/>
    <n v="-8412.5762481394504"/>
    <s v="Sale"/>
  </r>
  <r>
    <x v="133"/>
    <x v="2"/>
    <n v="2026"/>
    <x v="5"/>
    <x v="1"/>
    <x v="2"/>
    <x v="4"/>
    <n v="4"/>
    <x v="694"/>
    <n v="36730.057005237599"/>
    <x v="0"/>
    <s v="Unique"/>
    <n v="23125.942994762401"/>
    <s v="Sale"/>
  </r>
  <r>
    <x v="4"/>
    <x v="4"/>
    <n v="2026"/>
    <x v="4"/>
    <x v="1"/>
    <x v="0"/>
    <x v="4"/>
    <n v="1"/>
    <x v="695"/>
    <n v="25745.575307476101"/>
    <x v="0"/>
    <s v="Unique"/>
    <n v="20651.424692523899"/>
    <s v="Sale"/>
  </r>
  <r>
    <x v="198"/>
    <x v="2"/>
    <n v="2026"/>
    <x v="2"/>
    <x v="0"/>
    <x v="0"/>
    <x v="5"/>
    <n v="3"/>
    <x v="696"/>
    <n v="97632.581567089801"/>
    <x v="0"/>
    <s v="Unique"/>
    <n v="11963.418432910199"/>
    <s v="Sale"/>
  </r>
  <r>
    <x v="103"/>
    <x v="6"/>
    <n v="2026"/>
    <x v="4"/>
    <x v="1"/>
    <x v="1"/>
    <x v="0"/>
    <n v="9"/>
    <x v="697"/>
    <n v="187486.26879379101"/>
    <x v="0"/>
    <s v="Unique"/>
    <n v="53578.731206208991"/>
    <s v="Sale"/>
  </r>
  <r>
    <x v="125"/>
    <x v="6"/>
    <n v="2026"/>
    <x v="2"/>
    <x v="0"/>
    <x v="0"/>
    <x v="0"/>
    <n v="6"/>
    <x v="698"/>
    <n v="56920.0963879626"/>
    <x v="0"/>
    <s v="Unique"/>
    <n v="52267.9036120374"/>
    <s v="Sale"/>
  </r>
  <r>
    <x v="9"/>
    <x v="4"/>
    <n v="2026"/>
    <x v="1"/>
    <x v="0"/>
    <x v="3"/>
    <x v="5"/>
    <n v="10"/>
    <x v="699"/>
    <n v="35441.508267472498"/>
    <x v="0"/>
    <s v="Unique"/>
    <n v="27068.491732527502"/>
    <s v="Sale"/>
  </r>
  <r>
    <x v="14"/>
    <x v="1"/>
    <n v="2026"/>
    <x v="5"/>
    <x v="1"/>
    <x v="0"/>
    <x v="1"/>
    <n v="8"/>
    <x v="700"/>
    <n v="345156.05608213699"/>
    <x v="0"/>
    <s v="Unique"/>
    <n v="46043.943917863013"/>
    <s v="Sale"/>
  </r>
  <r>
    <x v="9"/>
    <x v="4"/>
    <n v="2026"/>
    <x v="4"/>
    <x v="1"/>
    <x v="3"/>
    <x v="0"/>
    <n v="7"/>
    <x v="701"/>
    <n v="71124.715950174505"/>
    <x v="0"/>
    <s v="Unique"/>
    <n v="43150.284049825495"/>
    <s v="Sale"/>
  </r>
  <r>
    <x v="14"/>
    <x v="1"/>
    <n v="2026"/>
    <x v="2"/>
    <x v="0"/>
    <x v="2"/>
    <x v="3"/>
    <n v="8"/>
    <x v="702"/>
    <n v="184506.55946821201"/>
    <x v="0"/>
    <s v="Unique"/>
    <n v="103501.44053178799"/>
    <s v="Sale"/>
  </r>
  <r>
    <x v="138"/>
    <x v="1"/>
    <n v="2026"/>
    <x v="5"/>
    <x v="1"/>
    <x v="3"/>
    <x v="3"/>
    <n v="5"/>
    <x v="703"/>
    <n v="68985.199360234503"/>
    <x v="0"/>
    <s v="Duplicate"/>
    <n v="66309.800639765497"/>
    <s v="Sale"/>
  </r>
  <r>
    <x v="189"/>
    <x v="6"/>
    <n v="2026"/>
    <x v="6"/>
    <x v="0"/>
    <x v="2"/>
    <x v="3"/>
    <n v="4"/>
    <x v="704"/>
    <n v="18501.118422112701"/>
    <x v="0"/>
    <s v="Unique"/>
    <n v="15294.881577887299"/>
    <s v="Sale"/>
  </r>
  <r>
    <x v="132"/>
    <x v="0"/>
    <n v="2026"/>
    <x v="2"/>
    <x v="0"/>
    <x v="0"/>
    <x v="0"/>
    <n v="10"/>
    <x v="705"/>
    <n v="99244.6010184263"/>
    <x v="0"/>
    <s v="Unique"/>
    <n v="11105.3989815737"/>
    <s v="Sale"/>
  </r>
  <r>
    <x v="24"/>
    <x v="6"/>
    <n v="2026"/>
    <x v="5"/>
    <x v="1"/>
    <x v="3"/>
    <x v="2"/>
    <n v="10"/>
    <x v="706"/>
    <n v="226867.76127054301"/>
    <x v="0"/>
    <s v="Duplicate"/>
    <n v="222592.23872945699"/>
    <s v="Sale"/>
  </r>
  <r>
    <x v="126"/>
    <x v="1"/>
    <n v="2026"/>
    <x v="4"/>
    <x v="1"/>
    <x v="3"/>
    <x v="0"/>
    <n v="9"/>
    <x v="707"/>
    <n v="296617.88894291199"/>
    <x v="0"/>
    <s v="Unique"/>
    <n v="67603.111057088012"/>
    <s v="Sale"/>
  </r>
  <r>
    <x v="189"/>
    <x v="6"/>
    <n v="2026"/>
    <x v="2"/>
    <x v="0"/>
    <x v="3"/>
    <x v="0"/>
    <n v="8"/>
    <x v="20"/>
    <n v="211902.744159291"/>
    <x v="1"/>
    <s v="Unique"/>
    <n v="-211902.744159291"/>
    <s v="Sale"/>
  </r>
  <r>
    <x v="12"/>
    <x v="5"/>
    <n v="2026"/>
    <x v="2"/>
    <x v="0"/>
    <x v="0"/>
    <x v="3"/>
    <n v="4"/>
    <x v="708"/>
    <n v="79010.837557026607"/>
    <x v="0"/>
    <s v="Unique"/>
    <n v="38865.162442973393"/>
    <s v="Sale"/>
  </r>
  <r>
    <x v="117"/>
    <x v="5"/>
    <n v="2026"/>
    <x v="2"/>
    <x v="0"/>
    <x v="2"/>
    <x v="0"/>
    <n v="3"/>
    <x v="709"/>
    <n v="51584.9845075454"/>
    <x v="0"/>
    <s v="Unique"/>
    <n v="19344.0154924546"/>
    <s v="Sale"/>
  </r>
  <r>
    <x v="194"/>
    <x v="1"/>
    <n v="2026"/>
    <x v="3"/>
    <x v="0"/>
    <x v="2"/>
    <x v="1"/>
    <n v="7"/>
    <x v="710"/>
    <n v="69262.931143279697"/>
    <x v="0"/>
    <s v="Unique"/>
    <n v="31131.068856720303"/>
    <s v="Sale"/>
  </r>
  <r>
    <x v="59"/>
    <x v="5"/>
    <n v="2026"/>
    <x v="1"/>
    <x v="0"/>
    <x v="1"/>
    <x v="4"/>
    <n v="10"/>
    <x v="711"/>
    <n v="173757.29113741001"/>
    <x v="0"/>
    <s v="Unique"/>
    <n v="166452.70886258999"/>
    <s v="Sale"/>
  </r>
  <r>
    <x v="173"/>
    <x v="2"/>
    <n v="2026"/>
    <x v="1"/>
    <x v="0"/>
    <x v="3"/>
    <x v="4"/>
    <n v="6"/>
    <x v="712"/>
    <n v="108899.991245853"/>
    <x v="0"/>
    <s v="Unique"/>
    <n v="106992.008754147"/>
    <s v="Sale"/>
  </r>
  <r>
    <x v="114"/>
    <x v="6"/>
    <n v="2026"/>
    <x v="3"/>
    <x v="0"/>
    <x v="3"/>
    <x v="5"/>
    <n v="2"/>
    <x v="713"/>
    <n v="48499.780302067498"/>
    <x v="0"/>
    <s v="Unique"/>
    <n v="6486.2196979325017"/>
    <s v="Sale"/>
  </r>
  <r>
    <x v="85"/>
    <x v="1"/>
    <n v="2026"/>
    <x v="4"/>
    <x v="1"/>
    <x v="0"/>
    <x v="1"/>
    <n v="4"/>
    <x v="714"/>
    <n v="109918.956180469"/>
    <x v="0"/>
    <s v="Unique"/>
    <n v="29801.043819530998"/>
    <s v="Sale"/>
  </r>
  <r>
    <x v="79"/>
    <x v="1"/>
    <n v="2026"/>
    <x v="3"/>
    <x v="0"/>
    <x v="1"/>
    <x v="1"/>
    <n v="6"/>
    <x v="715"/>
    <n v="200850.300101434"/>
    <x v="0"/>
    <s v="Unique"/>
    <n v="34973.699898566003"/>
    <s v="Sale"/>
  </r>
  <r>
    <x v="62"/>
    <x v="5"/>
    <n v="2026"/>
    <x v="5"/>
    <x v="1"/>
    <x v="0"/>
    <x v="2"/>
    <n v="10"/>
    <x v="716"/>
    <n v="89759.664106476004"/>
    <x v="0"/>
    <s v="Unique"/>
    <n v="45010.335893523996"/>
    <s v="Sale"/>
  </r>
  <r>
    <x v="10"/>
    <x v="1"/>
    <n v="2026"/>
    <x v="6"/>
    <x v="0"/>
    <x v="2"/>
    <x v="2"/>
    <n v="1"/>
    <x v="717"/>
    <n v="15126.4698057637"/>
    <x v="0"/>
    <s v="Unique"/>
    <n v="2581.5301942363003"/>
    <s v="Sale"/>
  </r>
  <r>
    <x v="142"/>
    <x v="0"/>
    <n v="2026"/>
    <x v="0"/>
    <x v="0"/>
    <x v="1"/>
    <x v="2"/>
    <n v="7"/>
    <x v="718"/>
    <n v="146778.171531926"/>
    <x v="0"/>
    <s v="Unique"/>
    <n v="120824.828468074"/>
    <s v="Sale"/>
  </r>
  <r>
    <x v="179"/>
    <x v="5"/>
    <n v="2026"/>
    <x v="4"/>
    <x v="1"/>
    <x v="2"/>
    <x v="2"/>
    <n v="1"/>
    <x v="719"/>
    <n v="5134.6950291863805"/>
    <x v="0"/>
    <s v="Unique"/>
    <n v="1661.3049708136195"/>
    <s v="Sale"/>
  </r>
  <r>
    <x v="182"/>
    <x v="1"/>
    <n v="2026"/>
    <x v="1"/>
    <x v="0"/>
    <x v="0"/>
    <x v="4"/>
    <n v="3"/>
    <x v="720"/>
    <n v="54007.1607823019"/>
    <x v="0"/>
    <s v="Unique"/>
    <n v="16303.8392176981"/>
    <s v="Sale"/>
  </r>
  <r>
    <x v="72"/>
    <x v="0"/>
    <n v="2026"/>
    <x v="4"/>
    <x v="1"/>
    <x v="3"/>
    <x v="3"/>
    <n v="3"/>
    <x v="721"/>
    <n v="33029.144179613199"/>
    <x v="0"/>
    <s v="Unique"/>
    <n v="6507.8558203868015"/>
    <s v="Sale"/>
  </r>
  <r>
    <x v="199"/>
    <x v="7"/>
    <n v="2026"/>
    <x v="0"/>
    <x v="0"/>
    <x v="2"/>
    <x v="5"/>
    <n v="5"/>
    <x v="722"/>
    <n v="40775.2894235278"/>
    <x v="0"/>
    <s v="Unique"/>
    <n v="19519.7105764722"/>
    <s v="Sale"/>
  </r>
  <r>
    <x v="136"/>
    <x v="4"/>
    <n v="2026"/>
    <x v="2"/>
    <x v="0"/>
    <x v="2"/>
    <x v="2"/>
    <n v="5"/>
    <x v="20"/>
    <n v="81002.414443409303"/>
    <x v="1"/>
    <s v="Unique"/>
    <n v="-81002.414443409303"/>
    <s v="Sale"/>
  </r>
  <r>
    <x v="134"/>
    <x v="5"/>
    <n v="2026"/>
    <x v="1"/>
    <x v="0"/>
    <x v="2"/>
    <x v="2"/>
    <n v="1"/>
    <x v="723"/>
    <n v="1875.3370247180301"/>
    <x v="0"/>
    <s v="Unique"/>
    <n v="1078.6629752819699"/>
    <s v="Sale"/>
  </r>
  <r>
    <x v="166"/>
    <x v="6"/>
    <n v="2026"/>
    <x v="4"/>
    <x v="1"/>
    <x v="1"/>
    <x v="4"/>
    <n v="7"/>
    <x v="724"/>
    <n v="135284.50434243999"/>
    <x v="0"/>
    <s v="Unique"/>
    <n v="113824.49565756001"/>
    <s v="Sale"/>
  </r>
  <r>
    <x v="198"/>
    <x v="2"/>
    <n v="2026"/>
    <x v="3"/>
    <x v="0"/>
    <x v="2"/>
    <x v="0"/>
    <n v="4"/>
    <x v="725"/>
    <n v="22977.897243816598"/>
    <x v="0"/>
    <s v="Duplicate"/>
    <n v="12778.102756183402"/>
    <s v="Sale"/>
  </r>
  <r>
    <x v="128"/>
    <x v="1"/>
    <n v="2026"/>
    <x v="0"/>
    <x v="0"/>
    <x v="0"/>
    <x v="5"/>
    <n v="10"/>
    <x v="726"/>
    <n v="135506.46184110001"/>
    <x v="0"/>
    <s v="Unique"/>
    <n v="126303.53815889999"/>
    <s v="Sale"/>
  </r>
  <r>
    <x v="8"/>
    <x v="4"/>
    <n v="2026"/>
    <x v="6"/>
    <x v="0"/>
    <x v="1"/>
    <x v="3"/>
    <n v="2"/>
    <x v="727"/>
    <n v="52031.779570008803"/>
    <x v="0"/>
    <s v="Unique"/>
    <n v="30592.220429991197"/>
    <s v="Sale"/>
  </r>
  <r>
    <x v="82"/>
    <x v="0"/>
    <n v="2026"/>
    <x v="4"/>
    <x v="1"/>
    <x v="0"/>
    <x v="5"/>
    <n v="8"/>
    <x v="728"/>
    <n v="32584.6909479469"/>
    <x v="0"/>
    <s v="Unique"/>
    <n v="18807.3090520531"/>
    <s v="Sale"/>
  </r>
  <r>
    <x v="0"/>
    <x v="0"/>
    <n v="2026"/>
    <x v="0"/>
    <x v="0"/>
    <x v="2"/>
    <x v="0"/>
    <n v="1"/>
    <x v="729"/>
    <n v="34066.014854661102"/>
    <x v="0"/>
    <s v="Unique"/>
    <n v="8326.9851453388983"/>
    <s v="Sale"/>
  </r>
  <r>
    <x v="53"/>
    <x v="5"/>
    <n v="2026"/>
    <x v="5"/>
    <x v="1"/>
    <x v="3"/>
    <x v="3"/>
    <n v="4"/>
    <x v="730"/>
    <n v="31055.687505545098"/>
    <x v="0"/>
    <s v="Unique"/>
    <n v="16700.312494454902"/>
    <s v="Sale"/>
  </r>
  <r>
    <x v="60"/>
    <x v="1"/>
    <n v="2026"/>
    <x v="5"/>
    <x v="1"/>
    <x v="0"/>
    <x v="5"/>
    <n v="1"/>
    <x v="731"/>
    <n v="29511.884814081699"/>
    <x v="0"/>
    <s v="Unique"/>
    <n v="6623.115185918301"/>
    <s v="Sale"/>
  </r>
  <r>
    <x v="68"/>
    <x v="2"/>
    <n v="2026"/>
    <x v="4"/>
    <x v="1"/>
    <x v="1"/>
    <x v="1"/>
    <n v="1"/>
    <x v="732"/>
    <n v="40810.971624664897"/>
    <x v="0"/>
    <s v="Unique"/>
    <n v="4770.0283753351032"/>
    <s v="Sale"/>
  </r>
  <r>
    <x v="177"/>
    <x v="1"/>
    <n v="2026"/>
    <x v="0"/>
    <x v="0"/>
    <x v="2"/>
    <x v="4"/>
    <n v="8"/>
    <x v="733"/>
    <n v="46442.600309743299"/>
    <x v="0"/>
    <s v="Unique"/>
    <n v="6245.3996902567014"/>
    <s v="Sale"/>
  </r>
  <r>
    <x v="200"/>
    <x v="2"/>
    <n v="2026"/>
    <x v="6"/>
    <x v="0"/>
    <x v="1"/>
    <x v="0"/>
    <n v="9"/>
    <x v="734"/>
    <n v="42977.447897709397"/>
    <x v="0"/>
    <s v="Unique"/>
    <n v="21120.552102290603"/>
    <s v="Sale"/>
  </r>
  <r>
    <x v="1"/>
    <x v="1"/>
    <n v="2026"/>
    <x v="4"/>
    <x v="1"/>
    <x v="0"/>
    <x v="3"/>
    <n v="10"/>
    <x v="735"/>
    <n v="278342.33104605402"/>
    <x v="0"/>
    <s v="Unique"/>
    <n v="35427.668953945977"/>
    <s v="Sale"/>
  </r>
  <r>
    <x v="137"/>
    <x v="1"/>
    <n v="2026"/>
    <x v="3"/>
    <x v="0"/>
    <x v="3"/>
    <x v="1"/>
    <n v="10"/>
    <x v="736"/>
    <n v="244495.66136150001"/>
    <x v="0"/>
    <s v="Unique"/>
    <n v="-548545.66136150004"/>
    <s v="Return"/>
  </r>
  <r>
    <x v="177"/>
    <x v="1"/>
    <n v="2026"/>
    <x v="5"/>
    <x v="1"/>
    <x v="1"/>
    <x v="1"/>
    <n v="3"/>
    <x v="737"/>
    <n v="36902.306310214903"/>
    <x v="0"/>
    <s v="Unique"/>
    <n v="19680.693689785097"/>
    <s v="Sale"/>
  </r>
  <r>
    <x v="25"/>
    <x v="1"/>
    <n v="2026"/>
    <x v="4"/>
    <x v="1"/>
    <x v="3"/>
    <x v="0"/>
    <n v="3"/>
    <x v="738"/>
    <n v="21712.875365434498"/>
    <x v="0"/>
    <s v="Unique"/>
    <n v="21568.124634565502"/>
    <s v="Sale"/>
  </r>
  <r>
    <x v="46"/>
    <x v="1"/>
    <n v="2026"/>
    <x v="0"/>
    <x v="0"/>
    <x v="0"/>
    <x v="2"/>
    <n v="8"/>
    <x v="739"/>
    <n v="134170.66323660201"/>
    <x v="0"/>
    <s v="Unique"/>
    <n v="43205.336763397994"/>
    <s v="Sale"/>
  </r>
  <r>
    <x v="35"/>
    <x v="2"/>
    <n v="2026"/>
    <x v="4"/>
    <x v="1"/>
    <x v="3"/>
    <x v="3"/>
    <n v="6"/>
    <x v="740"/>
    <n v="166433.44869702001"/>
    <x v="0"/>
    <s v="Unique"/>
    <n v="45948.551302979991"/>
    <s v="Sale"/>
  </r>
  <r>
    <x v="10"/>
    <x v="1"/>
    <n v="2026"/>
    <x v="4"/>
    <x v="1"/>
    <x v="3"/>
    <x v="4"/>
    <n v="6"/>
    <x v="20"/>
    <n v="203560.39370786599"/>
    <x v="1"/>
    <s v="Unique"/>
    <n v="-203560.39370786599"/>
    <s v="Sale"/>
  </r>
  <r>
    <x v="145"/>
    <x v="0"/>
    <n v="2026"/>
    <x v="5"/>
    <x v="1"/>
    <x v="1"/>
    <x v="1"/>
    <n v="10"/>
    <x v="20"/>
    <n v="380020.07294954802"/>
    <x v="1"/>
    <s v="Unique"/>
    <n v="-380020.07294954802"/>
    <s v="Sale"/>
  </r>
  <r>
    <x v="10"/>
    <x v="1"/>
    <n v="2026"/>
    <x v="1"/>
    <x v="0"/>
    <x v="1"/>
    <x v="2"/>
    <n v="3"/>
    <x v="741"/>
    <n v="54058.278337310003"/>
    <x v="0"/>
    <s v="Unique"/>
    <n v="35866.721662689997"/>
    <s v="Sale"/>
  </r>
  <r>
    <x v="177"/>
    <x v="1"/>
    <n v="2026"/>
    <x v="2"/>
    <x v="0"/>
    <x v="2"/>
    <x v="4"/>
    <n v="10"/>
    <x v="742"/>
    <n v="202872.32996989699"/>
    <x v="0"/>
    <s v="Unique"/>
    <n v="42827.670030103007"/>
    <s v="Sale"/>
  </r>
  <r>
    <x v="57"/>
    <x v="0"/>
    <n v="2026"/>
    <x v="2"/>
    <x v="0"/>
    <x v="3"/>
    <x v="4"/>
    <n v="2"/>
    <x v="743"/>
    <n v="10648.1295080403"/>
    <x v="0"/>
    <s v="Unique"/>
    <n v="2505.8704919597003"/>
    <s v="Sale"/>
  </r>
  <r>
    <x v="85"/>
    <x v="1"/>
    <n v="2026"/>
    <x v="5"/>
    <x v="1"/>
    <x v="1"/>
    <x v="5"/>
    <n v="3"/>
    <x v="744"/>
    <n v="31208.556063514101"/>
    <x v="0"/>
    <s v="Unique"/>
    <n v="13722.443936485899"/>
    <s v="Sale"/>
  </r>
  <r>
    <x v="61"/>
    <x v="2"/>
    <n v="2026"/>
    <x v="1"/>
    <x v="0"/>
    <x v="1"/>
    <x v="0"/>
    <n v="5"/>
    <x v="745"/>
    <n v="97352.259297022902"/>
    <x v="0"/>
    <s v="Unique"/>
    <n v="46597.740702977098"/>
    <s v="Sale"/>
  </r>
  <r>
    <x v="141"/>
    <x v="6"/>
    <n v="2026"/>
    <x v="5"/>
    <x v="1"/>
    <x v="2"/>
    <x v="3"/>
    <n v="1"/>
    <x v="746"/>
    <n v="23982.168641678902"/>
    <x v="0"/>
    <s v="Unique"/>
    <n v="-64362.168641678902"/>
    <s v="Return"/>
  </r>
  <r>
    <x v="155"/>
    <x v="5"/>
    <n v="2026"/>
    <x v="6"/>
    <x v="0"/>
    <x v="2"/>
    <x v="4"/>
    <n v="4"/>
    <x v="747"/>
    <n v="118361.548813737"/>
    <x v="0"/>
    <s v="Unique"/>
    <n v="26562.451186263002"/>
    <s v="Sale"/>
  </r>
  <r>
    <x v="155"/>
    <x v="5"/>
    <n v="2026"/>
    <x v="5"/>
    <x v="1"/>
    <x v="3"/>
    <x v="3"/>
    <n v="6"/>
    <x v="748"/>
    <n v="239796.34903204799"/>
    <x v="0"/>
    <s v="Unique"/>
    <n v="40319.65096795201"/>
    <s v="Sale"/>
  </r>
  <r>
    <x v="142"/>
    <x v="0"/>
    <n v="2026"/>
    <x v="5"/>
    <x v="1"/>
    <x v="0"/>
    <x v="4"/>
    <n v="1"/>
    <x v="749"/>
    <n v="27095.431207355101"/>
    <x v="0"/>
    <s v="Unique"/>
    <n v="4848.5687926448991"/>
    <s v="Sale"/>
  </r>
  <r>
    <x v="129"/>
    <x v="6"/>
    <n v="2026"/>
    <x v="5"/>
    <x v="1"/>
    <x v="1"/>
    <x v="3"/>
    <n v="8"/>
    <x v="750"/>
    <n v="263469.84478488"/>
    <x v="0"/>
    <s v="Unique"/>
    <n v="76722.155215120001"/>
    <s v="Sale"/>
  </r>
  <r>
    <x v="99"/>
    <x v="6"/>
    <n v="2026"/>
    <x v="2"/>
    <x v="0"/>
    <x v="0"/>
    <x v="4"/>
    <n v="6"/>
    <x v="751"/>
    <n v="26624.516851011002"/>
    <x v="0"/>
    <s v="Unique"/>
    <n v="3363.4831489889984"/>
    <s v="Sale"/>
  </r>
  <r>
    <x v="54"/>
    <x v="4"/>
    <n v="2026"/>
    <x v="1"/>
    <x v="0"/>
    <x v="0"/>
    <x v="2"/>
    <n v="8"/>
    <x v="752"/>
    <n v="304393.35171304201"/>
    <x v="0"/>
    <s v="Unique"/>
    <n v="56758.648286957992"/>
    <s v="Sale"/>
  </r>
  <r>
    <x v="133"/>
    <x v="2"/>
    <n v="2026"/>
    <x v="6"/>
    <x v="0"/>
    <x v="2"/>
    <x v="0"/>
    <n v="8"/>
    <x v="753"/>
    <n v="38259.972436975302"/>
    <x v="0"/>
    <s v="Unique"/>
    <n v="23396.027563024698"/>
    <s v="Sale"/>
  </r>
  <r>
    <x v="87"/>
    <x v="2"/>
    <n v="2026"/>
    <x v="3"/>
    <x v="0"/>
    <x v="1"/>
    <x v="0"/>
    <n v="4"/>
    <x v="754"/>
    <n v="42209.331913033697"/>
    <x v="0"/>
    <s v="Unique"/>
    <n v="10466.668086966303"/>
    <s v="Sale"/>
  </r>
  <r>
    <x v="107"/>
    <x v="3"/>
    <n v="2026"/>
    <x v="5"/>
    <x v="1"/>
    <x v="3"/>
    <x v="3"/>
    <n v="4"/>
    <x v="755"/>
    <n v="118514.076688348"/>
    <x v="0"/>
    <s v="Unique"/>
    <n v="78009.923311652004"/>
    <s v="Sale"/>
  </r>
  <r>
    <x v="26"/>
    <x v="2"/>
    <n v="2026"/>
    <x v="3"/>
    <x v="0"/>
    <x v="2"/>
    <x v="5"/>
    <n v="6"/>
    <x v="756"/>
    <n v="87272.943629903602"/>
    <x v="0"/>
    <s v="Unique"/>
    <n v="12729.056370096398"/>
    <s v="Sale"/>
  </r>
  <r>
    <x v="50"/>
    <x v="1"/>
    <n v="2026"/>
    <x v="0"/>
    <x v="0"/>
    <x v="3"/>
    <x v="5"/>
    <n v="9"/>
    <x v="757"/>
    <n v="227025.349404218"/>
    <x v="0"/>
    <s v="Unique"/>
    <n v="48698.650595782005"/>
    <s v="Sale"/>
  </r>
  <r>
    <x v="161"/>
    <x v="6"/>
    <n v="2026"/>
    <x v="4"/>
    <x v="1"/>
    <x v="2"/>
    <x v="1"/>
    <n v="6"/>
    <x v="758"/>
    <n v="52246.724876643399"/>
    <x v="0"/>
    <s v="Unique"/>
    <n v="-114346.72487664339"/>
    <s v="Return"/>
  </r>
  <r>
    <x v="115"/>
    <x v="6"/>
    <n v="2026"/>
    <x v="3"/>
    <x v="0"/>
    <x v="3"/>
    <x v="3"/>
    <n v="6"/>
    <x v="759"/>
    <n v="243820.39400461799"/>
    <x v="0"/>
    <s v="Unique"/>
    <n v="35287.605995382008"/>
    <s v="Sale"/>
  </r>
  <r>
    <x v="40"/>
    <x v="6"/>
    <n v="2026"/>
    <x v="3"/>
    <x v="0"/>
    <x v="0"/>
    <x v="0"/>
    <n v="5"/>
    <x v="760"/>
    <n v="57205.529485031402"/>
    <x v="0"/>
    <s v="Unique"/>
    <n v="24524.470514968598"/>
    <s v="Sale"/>
  </r>
  <r>
    <x v="142"/>
    <x v="0"/>
    <n v="2026"/>
    <x v="1"/>
    <x v="0"/>
    <x v="0"/>
    <x v="3"/>
    <n v="9"/>
    <x v="761"/>
    <n v="233023.00316474799"/>
    <x v="0"/>
    <s v="Unique"/>
    <n v="191128.99683525201"/>
    <s v="Sale"/>
  </r>
  <r>
    <x v="98"/>
    <x v="2"/>
    <n v="2026"/>
    <x v="3"/>
    <x v="0"/>
    <x v="2"/>
    <x v="3"/>
    <n v="3"/>
    <x v="762"/>
    <n v="85836.725574459299"/>
    <x v="0"/>
    <s v="Unique"/>
    <n v="61082.274425540701"/>
    <s v="Sale"/>
  </r>
  <r>
    <x v="17"/>
    <x v="6"/>
    <n v="2026"/>
    <x v="2"/>
    <x v="0"/>
    <x v="3"/>
    <x v="5"/>
    <n v="7"/>
    <x v="763"/>
    <n v="135142.13580025599"/>
    <x v="0"/>
    <s v="Unique"/>
    <n v="16064.864199744014"/>
    <s v="Sale"/>
  </r>
  <r>
    <x v="13"/>
    <x v="4"/>
    <n v="2026"/>
    <x v="3"/>
    <x v="0"/>
    <x v="0"/>
    <x v="2"/>
    <n v="7"/>
    <x v="764"/>
    <n v="33387.207340837696"/>
    <x v="0"/>
    <s v="Unique"/>
    <n v="13561.792659162304"/>
    <s v="Sale"/>
  </r>
  <r>
    <x v="13"/>
    <x v="4"/>
    <n v="2026"/>
    <x v="2"/>
    <x v="0"/>
    <x v="2"/>
    <x v="5"/>
    <n v="5"/>
    <x v="765"/>
    <n v="121835.626764589"/>
    <x v="0"/>
    <s v="Unique"/>
    <n v="38084.373235410996"/>
    <s v="Sale"/>
  </r>
  <r>
    <x v="29"/>
    <x v="2"/>
    <n v="2026"/>
    <x v="4"/>
    <x v="1"/>
    <x v="2"/>
    <x v="3"/>
    <n v="10"/>
    <x v="766"/>
    <n v="66958.907496122105"/>
    <x v="0"/>
    <s v="Unique"/>
    <n v="19851.092503877895"/>
    <s v="Sale"/>
  </r>
  <r>
    <x v="138"/>
    <x v="1"/>
    <n v="2026"/>
    <x v="1"/>
    <x v="0"/>
    <x v="2"/>
    <x v="3"/>
    <n v="8"/>
    <x v="767"/>
    <n v="96737.313095632693"/>
    <x v="0"/>
    <s v="Unique"/>
    <n v="13438.686904367307"/>
    <s v="Sale"/>
  </r>
  <r>
    <x v="33"/>
    <x v="1"/>
    <n v="2026"/>
    <x v="3"/>
    <x v="0"/>
    <x v="1"/>
    <x v="4"/>
    <n v="2"/>
    <x v="768"/>
    <n v="23427.144857178399"/>
    <x v="0"/>
    <s v="Unique"/>
    <n v="12140.855142821601"/>
    <s v="Sale"/>
  </r>
  <r>
    <x v="50"/>
    <x v="1"/>
    <n v="2026"/>
    <x v="0"/>
    <x v="0"/>
    <x v="2"/>
    <x v="2"/>
    <n v="7"/>
    <x v="769"/>
    <m/>
    <x v="1"/>
    <s v="Unique"/>
    <n v="140252"/>
    <s v="Sale"/>
  </r>
  <r>
    <x v="35"/>
    <x v="2"/>
    <n v="2026"/>
    <x v="6"/>
    <x v="0"/>
    <x v="1"/>
    <x v="4"/>
    <n v="10"/>
    <x v="770"/>
    <n v="353948.664899097"/>
    <x v="0"/>
    <s v="Unique"/>
    <n v="41551.335100903001"/>
    <s v="Sale"/>
  </r>
  <r>
    <x v="162"/>
    <x v="6"/>
    <n v="2026"/>
    <x v="3"/>
    <x v="0"/>
    <x v="3"/>
    <x v="3"/>
    <n v="10"/>
    <x v="771"/>
    <n v="55094.987562078597"/>
    <x v="0"/>
    <s v="Unique"/>
    <n v="46975.012437921403"/>
    <s v="Sale"/>
  </r>
  <r>
    <x v="102"/>
    <x v="2"/>
    <n v="2026"/>
    <x v="3"/>
    <x v="0"/>
    <x v="3"/>
    <x v="4"/>
    <n v="9"/>
    <x v="772"/>
    <n v="259674.284161941"/>
    <x v="0"/>
    <s v="Unique"/>
    <n v="103205.715838059"/>
    <s v="Sale"/>
  </r>
  <r>
    <x v="198"/>
    <x v="2"/>
    <n v="2026"/>
    <x v="4"/>
    <x v="1"/>
    <x v="1"/>
    <x v="4"/>
    <n v="9"/>
    <x v="773"/>
    <n v="231118.23828671701"/>
    <x v="0"/>
    <s v="Duplicate"/>
    <n v="50662.761713282991"/>
    <s v="Sale"/>
  </r>
  <r>
    <x v="201"/>
    <x v="7"/>
    <n v="2026"/>
    <x v="5"/>
    <x v="1"/>
    <x v="2"/>
    <x v="4"/>
    <n v="2"/>
    <x v="774"/>
    <n v="43570.788422145801"/>
    <x v="0"/>
    <s v="Unique"/>
    <n v="26769.211577854199"/>
    <s v="Sale"/>
  </r>
  <r>
    <x v="72"/>
    <x v="0"/>
    <n v="2026"/>
    <x v="5"/>
    <x v="1"/>
    <x v="2"/>
    <x v="1"/>
    <n v="5"/>
    <x v="775"/>
    <n v="161275.72041406401"/>
    <x v="0"/>
    <s v="Unique"/>
    <n v="64714.27958593599"/>
    <s v="Sale"/>
  </r>
  <r>
    <x v="202"/>
    <x v="1"/>
    <n v="2026"/>
    <x v="0"/>
    <x v="0"/>
    <x v="2"/>
    <x v="5"/>
    <n v="1"/>
    <x v="776"/>
    <n v="9026.69599969517"/>
    <x v="0"/>
    <s v="Unique"/>
    <n v="8511.30400030483"/>
    <s v="Sale"/>
  </r>
  <r>
    <x v="26"/>
    <x v="2"/>
    <n v="2026"/>
    <x v="5"/>
    <x v="1"/>
    <x v="0"/>
    <x v="0"/>
    <n v="10"/>
    <x v="777"/>
    <n v="157106.13768443"/>
    <x v="0"/>
    <s v="Unique"/>
    <n v="139463.86231557"/>
    <s v="Sale"/>
  </r>
  <r>
    <x v="182"/>
    <x v="1"/>
    <n v="2026"/>
    <x v="0"/>
    <x v="0"/>
    <x v="3"/>
    <x v="5"/>
    <n v="3"/>
    <x v="778"/>
    <n v="64758.158994306701"/>
    <x v="0"/>
    <s v="Unique"/>
    <n v="46604.841005693299"/>
    <s v="Sale"/>
  </r>
  <r>
    <x v="77"/>
    <x v="0"/>
    <n v="2026"/>
    <x v="5"/>
    <x v="1"/>
    <x v="1"/>
    <x v="2"/>
    <n v="3"/>
    <x v="779"/>
    <m/>
    <x v="1"/>
    <s v="Unique"/>
    <n v="68196"/>
    <s v="Sale"/>
  </r>
  <r>
    <x v="193"/>
    <x v="6"/>
    <n v="2026"/>
    <x v="0"/>
    <x v="0"/>
    <x v="3"/>
    <x v="4"/>
    <n v="6"/>
    <x v="780"/>
    <n v="141247.84835767801"/>
    <x v="0"/>
    <s v="Unique"/>
    <n v="122476.15164232199"/>
    <s v="Sale"/>
  </r>
  <r>
    <x v="105"/>
    <x v="2"/>
    <n v="2026"/>
    <x v="4"/>
    <x v="1"/>
    <x v="3"/>
    <x v="4"/>
    <n v="2"/>
    <x v="781"/>
    <n v="19208.676161122701"/>
    <x v="0"/>
    <s v="Unique"/>
    <n v="7823.3238388772988"/>
    <s v="Sale"/>
  </r>
  <r>
    <x v="166"/>
    <x v="6"/>
    <n v="2026"/>
    <x v="2"/>
    <x v="0"/>
    <x v="0"/>
    <x v="1"/>
    <n v="5"/>
    <x v="20"/>
    <n v="112808.911663526"/>
    <x v="1"/>
    <s v="Unique"/>
    <n v="-112808.911663526"/>
    <s v="Sale"/>
  </r>
  <r>
    <x v="47"/>
    <x v="2"/>
    <n v="2026"/>
    <x v="2"/>
    <x v="0"/>
    <x v="3"/>
    <x v="2"/>
    <n v="10"/>
    <x v="782"/>
    <n v="62535.489129376198"/>
    <x v="0"/>
    <s v="Unique"/>
    <n v="41064.510870623802"/>
    <s v="Sale"/>
  </r>
  <r>
    <x v="78"/>
    <x v="2"/>
    <n v="2026"/>
    <x v="1"/>
    <x v="0"/>
    <x v="0"/>
    <x v="5"/>
    <n v="4"/>
    <x v="783"/>
    <n v="138129.88448322"/>
    <x v="0"/>
    <s v="Unique"/>
    <n v="47658.115516780003"/>
    <s v="Sale"/>
  </r>
  <r>
    <x v="44"/>
    <x v="1"/>
    <n v="2026"/>
    <x v="3"/>
    <x v="0"/>
    <x v="1"/>
    <x v="3"/>
    <n v="2"/>
    <x v="784"/>
    <n v="29195.741773406298"/>
    <x v="0"/>
    <s v="Unique"/>
    <n v="14866.258226593702"/>
    <s v="Sale"/>
  </r>
  <r>
    <x v="66"/>
    <x v="5"/>
    <n v="2026"/>
    <x v="1"/>
    <x v="0"/>
    <x v="2"/>
    <x v="5"/>
    <n v="5"/>
    <x v="785"/>
    <m/>
    <x v="1"/>
    <s v="Unique"/>
    <n v="191585"/>
    <s v="Sale"/>
  </r>
  <r>
    <x v="36"/>
    <x v="0"/>
    <n v="2026"/>
    <x v="3"/>
    <x v="0"/>
    <x v="3"/>
    <x v="1"/>
    <n v="9"/>
    <x v="20"/>
    <n v="236240.19921822599"/>
    <x v="1"/>
    <s v="Unique"/>
    <n v="-236240.19921822599"/>
    <s v="Sale"/>
  </r>
  <r>
    <x v="169"/>
    <x v="6"/>
    <n v="2026"/>
    <x v="0"/>
    <x v="0"/>
    <x v="0"/>
    <x v="0"/>
    <n v="9"/>
    <x v="786"/>
    <n v="313444.42516347801"/>
    <x v="0"/>
    <s v="Unique"/>
    <n v="108034.57483652199"/>
    <s v="Sale"/>
  </r>
  <r>
    <x v="122"/>
    <x v="4"/>
    <n v="2026"/>
    <x v="5"/>
    <x v="1"/>
    <x v="1"/>
    <x v="1"/>
    <n v="6"/>
    <x v="787"/>
    <n v="21421.550463366999"/>
    <x v="0"/>
    <s v="Unique"/>
    <n v="10594.449536633001"/>
    <s v="Sale"/>
  </r>
  <r>
    <x v="36"/>
    <x v="0"/>
    <n v="2026"/>
    <x v="2"/>
    <x v="0"/>
    <x v="2"/>
    <x v="3"/>
    <n v="5"/>
    <x v="788"/>
    <n v="103917.626237989"/>
    <x v="0"/>
    <s v="Unique"/>
    <n v="64392.373762011004"/>
    <s v="Sale"/>
  </r>
  <r>
    <x v="98"/>
    <x v="2"/>
    <n v="2026"/>
    <x v="0"/>
    <x v="0"/>
    <x v="2"/>
    <x v="2"/>
    <n v="10"/>
    <x v="20"/>
    <n v="177814.325179306"/>
    <x v="1"/>
    <s v="Unique"/>
    <n v="-177814.325179306"/>
    <s v="Sale"/>
  </r>
  <r>
    <x v="40"/>
    <x v="6"/>
    <n v="2026"/>
    <x v="0"/>
    <x v="0"/>
    <x v="1"/>
    <x v="2"/>
    <n v="6"/>
    <x v="789"/>
    <n v="8367.4835263158093"/>
    <x v="0"/>
    <s v="Unique"/>
    <n v="7112.5164736841907"/>
    <s v="Sale"/>
  </r>
  <r>
    <x v="52"/>
    <x v="2"/>
    <n v="2026"/>
    <x v="1"/>
    <x v="0"/>
    <x v="1"/>
    <x v="5"/>
    <n v="5"/>
    <x v="790"/>
    <n v="57873.979401405799"/>
    <x v="0"/>
    <s v="Unique"/>
    <n v="26211.020598594201"/>
    <s v="Sale"/>
  </r>
  <r>
    <x v="34"/>
    <x v="4"/>
    <n v="2026"/>
    <x v="3"/>
    <x v="0"/>
    <x v="3"/>
    <x v="0"/>
    <n v="3"/>
    <x v="20"/>
    <n v="60348.897332167398"/>
    <x v="1"/>
    <s v="Unique"/>
    <n v="-60348.897332167398"/>
    <s v="Sale"/>
  </r>
  <r>
    <x v="114"/>
    <x v="6"/>
    <n v="2026"/>
    <x v="1"/>
    <x v="0"/>
    <x v="1"/>
    <x v="2"/>
    <n v="7"/>
    <x v="791"/>
    <n v="142776.351454802"/>
    <x v="0"/>
    <s v="Unique"/>
    <n v="23165.648545197997"/>
    <s v="Sale"/>
  </r>
  <r>
    <x v="142"/>
    <x v="0"/>
    <n v="2026"/>
    <x v="3"/>
    <x v="0"/>
    <x v="3"/>
    <x v="5"/>
    <n v="3"/>
    <x v="792"/>
    <n v="55928.862012715297"/>
    <x v="0"/>
    <s v="Unique"/>
    <n v="13944.137987284703"/>
    <s v="Sale"/>
  </r>
  <r>
    <x v="203"/>
    <x v="8"/>
    <n v="2026"/>
    <x v="1"/>
    <x v="0"/>
    <x v="2"/>
    <x v="0"/>
    <n v="3"/>
    <x v="793"/>
    <n v="51559.227441994299"/>
    <x v="0"/>
    <s v="Unique"/>
    <n v="22096.772558005701"/>
    <s v="Sale"/>
  </r>
  <r>
    <x v="91"/>
    <x v="5"/>
    <n v="2026"/>
    <x v="1"/>
    <x v="0"/>
    <x v="3"/>
    <x v="2"/>
    <n v="5"/>
    <x v="794"/>
    <n v="71155.739706727705"/>
    <x v="0"/>
    <s v="Unique"/>
    <n v="31319.260293272295"/>
    <s v="Sale"/>
  </r>
  <r>
    <x v="204"/>
    <x v="7"/>
    <n v="2026"/>
    <x v="5"/>
    <x v="1"/>
    <x v="2"/>
    <x v="3"/>
    <n v="4"/>
    <x v="795"/>
    <n v="151296.945316634"/>
    <x v="0"/>
    <s v="Duplicate"/>
    <n v="31375.054683366005"/>
    <s v="Sale"/>
  </r>
  <r>
    <x v="195"/>
    <x v="0"/>
    <n v="2026"/>
    <x v="4"/>
    <x v="1"/>
    <x v="1"/>
    <x v="0"/>
    <n v="2"/>
    <x v="796"/>
    <n v="14095.353054936901"/>
    <x v="0"/>
    <s v="Unique"/>
    <n v="7244.6469450630993"/>
    <s v="Sale"/>
  </r>
  <r>
    <x v="86"/>
    <x v="6"/>
    <n v="2026"/>
    <x v="1"/>
    <x v="0"/>
    <x v="3"/>
    <x v="2"/>
    <n v="9"/>
    <x v="797"/>
    <n v="155035.289300815"/>
    <x v="0"/>
    <s v="Unique"/>
    <n v="43711.710699185001"/>
    <s v="Sale"/>
  </r>
  <r>
    <x v="115"/>
    <x v="6"/>
    <n v="2026"/>
    <x v="5"/>
    <x v="1"/>
    <x v="2"/>
    <x v="3"/>
    <n v="6"/>
    <x v="798"/>
    <n v="107295.533903181"/>
    <x v="0"/>
    <s v="Unique"/>
    <n v="15020.466096819"/>
    <s v="Sale"/>
  </r>
  <r>
    <x v="47"/>
    <x v="2"/>
    <n v="2026"/>
    <x v="1"/>
    <x v="0"/>
    <x v="0"/>
    <x v="0"/>
    <n v="5"/>
    <x v="799"/>
    <n v="100794.656935598"/>
    <x v="0"/>
    <s v="Unique"/>
    <n v="63885.343064401997"/>
    <s v="Sale"/>
  </r>
  <r>
    <x v="55"/>
    <x v="4"/>
    <n v="2026"/>
    <x v="1"/>
    <x v="0"/>
    <x v="2"/>
    <x v="5"/>
    <n v="9"/>
    <x v="800"/>
    <n v="59991.805654604097"/>
    <x v="0"/>
    <s v="Unique"/>
    <n v="34859.194345395903"/>
    <s v="Sale"/>
  </r>
  <r>
    <x v="41"/>
    <x v="4"/>
    <n v="2026"/>
    <x v="5"/>
    <x v="1"/>
    <x v="1"/>
    <x v="1"/>
    <n v="7"/>
    <x v="801"/>
    <n v="46173.644606164104"/>
    <x v="0"/>
    <s v="Unique"/>
    <n v="7838.3553938358964"/>
    <s v="Sale"/>
  </r>
  <r>
    <x v="135"/>
    <x v="4"/>
    <n v="2026"/>
    <x v="2"/>
    <x v="0"/>
    <x v="1"/>
    <x v="0"/>
    <n v="8"/>
    <x v="802"/>
    <n v="35884.099021614697"/>
    <x v="0"/>
    <s v="Unique"/>
    <n v="31827.900978385303"/>
    <s v="Sale"/>
  </r>
  <r>
    <x v="152"/>
    <x v="2"/>
    <n v="2026"/>
    <x v="4"/>
    <x v="1"/>
    <x v="1"/>
    <x v="2"/>
    <n v="9"/>
    <x v="803"/>
    <n v="263071.181022959"/>
    <x v="0"/>
    <s v="Unique"/>
    <n v="174643.818977041"/>
    <s v="Sale"/>
  </r>
  <r>
    <x v="51"/>
    <x v="5"/>
    <n v="2026"/>
    <x v="0"/>
    <x v="0"/>
    <x v="2"/>
    <x v="2"/>
    <n v="2"/>
    <x v="804"/>
    <n v="44918.910389855002"/>
    <x v="0"/>
    <s v="Unique"/>
    <n v="-112202.91038985501"/>
    <s v="Return"/>
  </r>
  <r>
    <x v="159"/>
    <x v="0"/>
    <n v="2026"/>
    <x v="5"/>
    <x v="1"/>
    <x v="2"/>
    <x v="1"/>
    <n v="1"/>
    <x v="805"/>
    <n v="27345.769052055501"/>
    <x v="0"/>
    <s v="Unique"/>
    <n v="20123.230947944499"/>
    <s v="Sale"/>
  </r>
  <r>
    <x v="63"/>
    <x v="4"/>
    <n v="2026"/>
    <x v="2"/>
    <x v="0"/>
    <x v="3"/>
    <x v="1"/>
    <n v="7"/>
    <x v="806"/>
    <m/>
    <x v="1"/>
    <s v="Unique"/>
    <n v="197890"/>
    <s v="Sale"/>
  </r>
  <r>
    <x v="150"/>
    <x v="0"/>
    <n v="2026"/>
    <x v="2"/>
    <x v="0"/>
    <x v="3"/>
    <x v="1"/>
    <n v="9"/>
    <x v="807"/>
    <n v="106040.749209808"/>
    <x v="0"/>
    <s v="Unique"/>
    <n v="64617.250790192003"/>
    <s v="Sale"/>
  </r>
  <r>
    <x v="87"/>
    <x v="2"/>
    <n v="2026"/>
    <x v="5"/>
    <x v="1"/>
    <x v="2"/>
    <x v="5"/>
    <n v="3"/>
    <x v="808"/>
    <n v="52784.328579679903"/>
    <x v="0"/>
    <s v="Unique"/>
    <n v="7824.6714203200972"/>
    <s v="Sale"/>
  </r>
  <r>
    <x v="134"/>
    <x v="5"/>
    <n v="2026"/>
    <x v="1"/>
    <x v="0"/>
    <x v="2"/>
    <x v="5"/>
    <n v="6"/>
    <x v="809"/>
    <n v="193513.91737043599"/>
    <x v="0"/>
    <s v="Unique"/>
    <n v="67264.082629564014"/>
    <s v="Sale"/>
  </r>
  <r>
    <x v="13"/>
    <x v="4"/>
    <n v="2026"/>
    <x v="6"/>
    <x v="0"/>
    <x v="0"/>
    <x v="3"/>
    <n v="1"/>
    <x v="810"/>
    <n v="35552.041199099302"/>
    <x v="0"/>
    <s v="Unique"/>
    <n v="7469.9588009006984"/>
    <s v="Sale"/>
  </r>
  <r>
    <x v="181"/>
    <x v="2"/>
    <n v="2026"/>
    <x v="0"/>
    <x v="0"/>
    <x v="2"/>
    <x v="5"/>
    <n v="7"/>
    <x v="811"/>
    <n v="189288.18573322101"/>
    <x v="0"/>
    <s v="Unique"/>
    <n v="124654.81426677899"/>
    <s v="Sale"/>
  </r>
  <r>
    <x v="60"/>
    <x v="1"/>
    <n v="2026"/>
    <x v="6"/>
    <x v="0"/>
    <x v="3"/>
    <x v="0"/>
    <n v="8"/>
    <x v="812"/>
    <n v="108880.151665495"/>
    <x v="0"/>
    <s v="Unique"/>
    <n v="28607.848334505004"/>
    <s v="Sale"/>
  </r>
  <r>
    <x v="104"/>
    <x v="9"/>
    <n v="2026"/>
    <x v="4"/>
    <x v="1"/>
    <x v="1"/>
    <x v="0"/>
    <n v="10"/>
    <x v="813"/>
    <n v="299577.20739188202"/>
    <x v="0"/>
    <s v="Unique"/>
    <n v="41882.792608117976"/>
    <s v="Sale"/>
  </r>
  <r>
    <x v="181"/>
    <x v="2"/>
    <n v="2026"/>
    <x v="4"/>
    <x v="1"/>
    <x v="2"/>
    <x v="0"/>
    <n v="2"/>
    <x v="814"/>
    <n v="35819.104657132797"/>
    <x v="0"/>
    <s v="Unique"/>
    <n v="24068.895342867203"/>
    <s v="Sale"/>
  </r>
  <r>
    <x v="122"/>
    <x v="4"/>
    <n v="2026"/>
    <x v="2"/>
    <x v="0"/>
    <x v="2"/>
    <x v="1"/>
    <n v="2"/>
    <x v="815"/>
    <m/>
    <x v="1"/>
    <s v="Unique"/>
    <n v="53528"/>
    <s v="Sale"/>
  </r>
  <r>
    <x v="164"/>
    <x v="11"/>
    <n v="2026"/>
    <x v="2"/>
    <x v="0"/>
    <x v="2"/>
    <x v="3"/>
    <n v="3"/>
    <x v="816"/>
    <m/>
    <x v="1"/>
    <s v="Unique"/>
    <n v="129348"/>
    <s v="Sale"/>
  </r>
  <r>
    <x v="178"/>
    <x v="4"/>
    <n v="2026"/>
    <x v="0"/>
    <x v="0"/>
    <x v="2"/>
    <x v="0"/>
    <n v="3"/>
    <x v="817"/>
    <n v="80752.630333963694"/>
    <x v="0"/>
    <s v="Duplicate"/>
    <n v="19702.369666036306"/>
    <s v="Sale"/>
  </r>
  <r>
    <x v="134"/>
    <x v="5"/>
    <n v="2026"/>
    <x v="1"/>
    <x v="0"/>
    <x v="0"/>
    <x v="5"/>
    <n v="9"/>
    <x v="20"/>
    <n v="46060.947229819903"/>
    <x v="1"/>
    <s v="Unique"/>
    <n v="-46060.947229819903"/>
    <s v="Sale"/>
  </r>
  <r>
    <x v="73"/>
    <x v="1"/>
    <n v="2026"/>
    <x v="4"/>
    <x v="1"/>
    <x v="2"/>
    <x v="0"/>
    <n v="7"/>
    <x v="818"/>
    <n v="106643.303650047"/>
    <x v="0"/>
    <s v="Unique"/>
    <n v="84148.696349952996"/>
    <s v="Sale"/>
  </r>
  <r>
    <x v="10"/>
    <x v="1"/>
    <n v="2026"/>
    <x v="1"/>
    <x v="0"/>
    <x v="3"/>
    <x v="0"/>
    <n v="2"/>
    <x v="819"/>
    <n v="18074.335808386601"/>
    <x v="0"/>
    <s v="Unique"/>
    <n v="15353.664191613399"/>
    <s v="Sale"/>
  </r>
  <r>
    <x v="120"/>
    <x v="6"/>
    <n v="2026"/>
    <x v="1"/>
    <x v="0"/>
    <x v="2"/>
    <x v="1"/>
    <n v="3"/>
    <x v="820"/>
    <n v="27534.205983827698"/>
    <x v="0"/>
    <s v="Unique"/>
    <n v="13472.794016172302"/>
    <s v="Sale"/>
  </r>
  <r>
    <x v="142"/>
    <x v="0"/>
    <n v="2026"/>
    <x v="5"/>
    <x v="1"/>
    <x v="0"/>
    <x v="4"/>
    <n v="5"/>
    <x v="821"/>
    <n v="132743.00338150299"/>
    <x v="0"/>
    <s v="Unique"/>
    <n v="40846.996618497011"/>
    <s v="Sale"/>
  </r>
  <r>
    <x v="193"/>
    <x v="6"/>
    <n v="2026"/>
    <x v="4"/>
    <x v="1"/>
    <x v="1"/>
    <x v="3"/>
    <n v="3"/>
    <x v="822"/>
    <n v="56190.479338535399"/>
    <x v="0"/>
    <s v="Unique"/>
    <n v="26603.520661464601"/>
    <s v="Sale"/>
  </r>
  <r>
    <x v="114"/>
    <x v="6"/>
    <n v="2026"/>
    <x v="5"/>
    <x v="1"/>
    <x v="1"/>
    <x v="4"/>
    <n v="6"/>
    <x v="823"/>
    <n v="35595.2007831597"/>
    <x v="0"/>
    <s v="Unique"/>
    <n v="26552.7992168403"/>
    <s v="Sale"/>
  </r>
  <r>
    <x v="82"/>
    <x v="0"/>
    <n v="2026"/>
    <x v="0"/>
    <x v="0"/>
    <x v="0"/>
    <x v="0"/>
    <n v="4"/>
    <x v="824"/>
    <n v="72385.119888087298"/>
    <x v="0"/>
    <s v="Unique"/>
    <n v="36062.880111912702"/>
    <s v="Sale"/>
  </r>
  <r>
    <x v="68"/>
    <x v="2"/>
    <n v="2026"/>
    <x v="3"/>
    <x v="0"/>
    <x v="1"/>
    <x v="5"/>
    <n v="2"/>
    <x v="825"/>
    <n v="22451.757055305799"/>
    <x v="0"/>
    <s v="Unique"/>
    <n v="12374.242944694201"/>
    <s v="Sale"/>
  </r>
  <r>
    <x v="42"/>
    <x v="4"/>
    <n v="2026"/>
    <x v="1"/>
    <x v="0"/>
    <x v="0"/>
    <x v="3"/>
    <n v="3"/>
    <x v="826"/>
    <n v="43744.209200719502"/>
    <x v="0"/>
    <s v="Unique"/>
    <n v="20194.790799280498"/>
    <s v="Sale"/>
  </r>
  <r>
    <x v="45"/>
    <x v="1"/>
    <n v="2026"/>
    <x v="1"/>
    <x v="0"/>
    <x v="1"/>
    <x v="4"/>
    <n v="3"/>
    <x v="827"/>
    <n v="63625.980713871999"/>
    <x v="0"/>
    <s v="Unique"/>
    <n v="16585.019286128001"/>
    <s v="Sale"/>
  </r>
  <r>
    <x v="40"/>
    <x v="6"/>
    <n v="2026"/>
    <x v="2"/>
    <x v="0"/>
    <x v="1"/>
    <x v="4"/>
    <n v="3"/>
    <x v="828"/>
    <m/>
    <x v="1"/>
    <s v="Unique"/>
    <n v="77808"/>
    <s v="Sale"/>
  </r>
  <r>
    <x v="73"/>
    <x v="1"/>
    <n v="2026"/>
    <x v="4"/>
    <x v="1"/>
    <x v="3"/>
    <x v="5"/>
    <n v="3"/>
    <x v="829"/>
    <n v="85501.426201563198"/>
    <x v="0"/>
    <s v="Unique"/>
    <n v="24196.573798436802"/>
    <s v="Sale"/>
  </r>
  <r>
    <x v="77"/>
    <x v="0"/>
    <n v="2026"/>
    <x v="4"/>
    <x v="1"/>
    <x v="2"/>
    <x v="5"/>
    <n v="1"/>
    <x v="830"/>
    <m/>
    <x v="1"/>
    <s v="Unique"/>
    <n v="41595"/>
    <s v="Sale"/>
  </r>
  <r>
    <x v="157"/>
    <x v="0"/>
    <n v="2026"/>
    <x v="0"/>
    <x v="0"/>
    <x v="0"/>
    <x v="1"/>
    <n v="9"/>
    <x v="831"/>
    <n v="155575.74850366899"/>
    <x v="0"/>
    <s v="Unique"/>
    <n v="42928.25149633101"/>
    <s v="Sale"/>
  </r>
  <r>
    <x v="121"/>
    <x v="4"/>
    <n v="2026"/>
    <x v="0"/>
    <x v="0"/>
    <x v="1"/>
    <x v="2"/>
    <n v="10"/>
    <x v="832"/>
    <n v="33308.921820309602"/>
    <x v="0"/>
    <s v="Unique"/>
    <n v="23381.078179690398"/>
    <s v="Sale"/>
  </r>
  <r>
    <x v="193"/>
    <x v="6"/>
    <n v="2026"/>
    <x v="5"/>
    <x v="1"/>
    <x v="3"/>
    <x v="2"/>
    <n v="3"/>
    <x v="833"/>
    <n v="13754.0877032303"/>
    <x v="0"/>
    <s v="Unique"/>
    <n v="2991.9122967697003"/>
    <s v="Sale"/>
  </r>
  <r>
    <x v="193"/>
    <x v="6"/>
    <n v="2026"/>
    <x v="5"/>
    <x v="1"/>
    <x v="2"/>
    <x v="0"/>
    <n v="5"/>
    <x v="834"/>
    <n v="45383.998422302"/>
    <x v="0"/>
    <s v="Unique"/>
    <n v="17946.001577698"/>
    <s v="Sale"/>
  </r>
  <r>
    <x v="64"/>
    <x v="5"/>
    <n v="2026"/>
    <x v="4"/>
    <x v="1"/>
    <x v="2"/>
    <x v="0"/>
    <n v="5"/>
    <x v="835"/>
    <n v="33725.0400197735"/>
    <x v="0"/>
    <s v="Unique"/>
    <n v="4139.9599802265002"/>
    <s v="Sale"/>
  </r>
  <r>
    <x v="164"/>
    <x v="11"/>
    <n v="2026"/>
    <x v="1"/>
    <x v="0"/>
    <x v="0"/>
    <x v="4"/>
    <n v="6"/>
    <x v="836"/>
    <n v="108707.066742102"/>
    <x v="0"/>
    <s v="Unique"/>
    <n v="14334.933257897996"/>
    <s v="Sale"/>
  </r>
  <r>
    <x v="69"/>
    <x v="1"/>
    <n v="2026"/>
    <x v="1"/>
    <x v="0"/>
    <x v="0"/>
    <x v="2"/>
    <n v="9"/>
    <x v="837"/>
    <m/>
    <x v="1"/>
    <s v="Unique"/>
    <n v="77571"/>
    <s v="Sale"/>
  </r>
  <r>
    <x v="48"/>
    <x v="4"/>
    <n v="2026"/>
    <x v="5"/>
    <x v="1"/>
    <x v="1"/>
    <x v="0"/>
    <n v="8"/>
    <x v="838"/>
    <n v="48928.623786317003"/>
    <x v="0"/>
    <s v="Unique"/>
    <n v="8359.3762136829973"/>
    <s v="Sale"/>
  </r>
  <r>
    <x v="157"/>
    <x v="0"/>
    <n v="2026"/>
    <x v="4"/>
    <x v="1"/>
    <x v="0"/>
    <x v="2"/>
    <n v="3"/>
    <x v="839"/>
    <n v="44779.3219395173"/>
    <x v="0"/>
    <s v="Unique"/>
    <n v="27874.6780604827"/>
    <s v="Sale"/>
  </r>
  <r>
    <x v="157"/>
    <x v="0"/>
    <n v="2026"/>
    <x v="6"/>
    <x v="0"/>
    <x v="2"/>
    <x v="0"/>
    <n v="10"/>
    <x v="840"/>
    <m/>
    <x v="1"/>
    <s v="Unique"/>
    <n v="431420"/>
    <s v="Sale"/>
  </r>
  <r>
    <x v="64"/>
    <x v="5"/>
    <n v="2026"/>
    <x v="2"/>
    <x v="0"/>
    <x v="2"/>
    <x v="2"/>
    <n v="2"/>
    <x v="841"/>
    <n v="39788.509582424304"/>
    <x v="0"/>
    <s v="Unique"/>
    <n v="23823.490417575696"/>
    <s v="Sale"/>
  </r>
  <r>
    <x v="140"/>
    <x v="1"/>
    <n v="2026"/>
    <x v="0"/>
    <x v="0"/>
    <x v="3"/>
    <x v="3"/>
    <n v="8"/>
    <x v="842"/>
    <n v="120969.16009854899"/>
    <x v="0"/>
    <s v="Unique"/>
    <n v="29254.839901451007"/>
    <s v="Sale"/>
  </r>
  <r>
    <x v="84"/>
    <x v="4"/>
    <n v="2026"/>
    <x v="5"/>
    <x v="1"/>
    <x v="3"/>
    <x v="2"/>
    <n v="10"/>
    <x v="843"/>
    <n v="257053.69393245701"/>
    <x v="0"/>
    <s v="Unique"/>
    <n v="208966.30606754299"/>
    <s v="Sale"/>
  </r>
  <r>
    <x v="145"/>
    <x v="0"/>
    <n v="2026"/>
    <x v="3"/>
    <x v="0"/>
    <x v="3"/>
    <x v="3"/>
    <n v="1"/>
    <x v="844"/>
    <n v="38019.585132035798"/>
    <x v="0"/>
    <s v="Unique"/>
    <n v="4652.4148679642021"/>
    <s v="Sale"/>
  </r>
  <r>
    <x v="110"/>
    <x v="4"/>
    <n v="2026"/>
    <x v="2"/>
    <x v="0"/>
    <x v="2"/>
    <x v="3"/>
    <n v="7"/>
    <x v="845"/>
    <n v="63031.958995032597"/>
    <x v="0"/>
    <s v="Unique"/>
    <n v="23544.041004967403"/>
    <s v="Sale"/>
  </r>
  <r>
    <x v="31"/>
    <x v="0"/>
    <n v="2026"/>
    <x v="3"/>
    <x v="0"/>
    <x v="3"/>
    <x v="5"/>
    <n v="9"/>
    <x v="846"/>
    <n v="158840.78711977901"/>
    <x v="0"/>
    <s v="Unique"/>
    <n v="133335.21288022099"/>
    <s v="Sale"/>
  </r>
  <r>
    <x v="126"/>
    <x v="1"/>
    <n v="2026"/>
    <x v="5"/>
    <x v="1"/>
    <x v="2"/>
    <x v="3"/>
    <n v="6"/>
    <x v="847"/>
    <n v="173380.86417408701"/>
    <x v="0"/>
    <s v="Unique"/>
    <n v="76261.135825912992"/>
    <s v="Sale"/>
  </r>
  <r>
    <x v="144"/>
    <x v="6"/>
    <n v="2026"/>
    <x v="4"/>
    <x v="1"/>
    <x v="1"/>
    <x v="3"/>
    <n v="10"/>
    <x v="848"/>
    <n v="36270.4365203251"/>
    <x v="0"/>
    <s v="Unique"/>
    <n v="4249.5634796749"/>
    <s v="Sale"/>
  </r>
  <r>
    <x v="85"/>
    <x v="1"/>
    <n v="2026"/>
    <x v="4"/>
    <x v="1"/>
    <x v="2"/>
    <x v="5"/>
    <n v="7"/>
    <x v="849"/>
    <n v="82786.959479600395"/>
    <x v="0"/>
    <s v="Unique"/>
    <n v="55001.040520399605"/>
    <s v="Sale"/>
  </r>
  <r>
    <x v="141"/>
    <x v="6"/>
    <n v="2026"/>
    <x v="2"/>
    <x v="0"/>
    <x v="3"/>
    <x v="1"/>
    <n v="4"/>
    <x v="560"/>
    <n v="157335.875954505"/>
    <x v="0"/>
    <s v="Unique"/>
    <n v="26204.124045495002"/>
    <s v="Sale"/>
  </r>
  <r>
    <x v="138"/>
    <x v="1"/>
    <n v="2026"/>
    <x v="4"/>
    <x v="1"/>
    <x v="1"/>
    <x v="3"/>
    <n v="7"/>
    <x v="850"/>
    <n v="162156.22349608899"/>
    <x v="0"/>
    <s v="Unique"/>
    <n v="72784.776503911009"/>
    <s v="Sale"/>
  </r>
  <r>
    <x v="202"/>
    <x v="1"/>
    <n v="2026"/>
    <x v="2"/>
    <x v="0"/>
    <x v="2"/>
    <x v="1"/>
    <n v="10"/>
    <x v="851"/>
    <n v="79732.257618472795"/>
    <x v="0"/>
    <s v="Unique"/>
    <n v="70387.742381527205"/>
    <s v="Sale"/>
  </r>
  <r>
    <x v="149"/>
    <x v="5"/>
    <n v="2026"/>
    <x v="3"/>
    <x v="0"/>
    <x v="1"/>
    <x v="2"/>
    <n v="6"/>
    <x v="852"/>
    <n v="46288.437250729003"/>
    <x v="0"/>
    <s v="Unique"/>
    <n v="10381.562749270997"/>
    <s v="Sale"/>
  </r>
  <r>
    <x v="168"/>
    <x v="1"/>
    <n v="2026"/>
    <x v="0"/>
    <x v="0"/>
    <x v="3"/>
    <x v="5"/>
    <n v="10"/>
    <x v="853"/>
    <n v="43153.885432999399"/>
    <x v="0"/>
    <s v="Unique"/>
    <n v="40706.114567000601"/>
    <s v="Sale"/>
  </r>
  <r>
    <x v="191"/>
    <x v="2"/>
    <n v="2026"/>
    <x v="4"/>
    <x v="1"/>
    <x v="1"/>
    <x v="5"/>
    <n v="10"/>
    <x v="854"/>
    <n v="19060.696467379399"/>
    <x v="0"/>
    <s v="Unique"/>
    <n v="10349.303532620601"/>
    <s v="Sale"/>
  </r>
  <r>
    <x v="35"/>
    <x v="2"/>
    <n v="2026"/>
    <x v="3"/>
    <x v="0"/>
    <x v="3"/>
    <x v="2"/>
    <n v="6"/>
    <x v="855"/>
    <n v="125100.13860036399"/>
    <x v="0"/>
    <s v="Duplicate"/>
    <n v="25391.861399636007"/>
    <s v="Sale"/>
  </r>
  <r>
    <x v="181"/>
    <x v="2"/>
    <n v="2026"/>
    <x v="6"/>
    <x v="0"/>
    <x v="1"/>
    <x v="1"/>
    <n v="7"/>
    <x v="856"/>
    <n v="116073.900351285"/>
    <x v="0"/>
    <s v="Unique"/>
    <n v="72968.099648714997"/>
    <s v="Sale"/>
  </r>
  <r>
    <x v="195"/>
    <x v="0"/>
    <n v="2026"/>
    <x v="2"/>
    <x v="0"/>
    <x v="2"/>
    <x v="4"/>
    <n v="2"/>
    <x v="857"/>
    <n v="11966.1151935657"/>
    <x v="0"/>
    <s v="Duplicate"/>
    <n v="3781.8848064343001"/>
    <s v="Sale"/>
  </r>
  <r>
    <x v="186"/>
    <x v="0"/>
    <n v="2026"/>
    <x v="3"/>
    <x v="0"/>
    <x v="2"/>
    <x v="5"/>
    <n v="5"/>
    <x v="858"/>
    <n v="86446.287192357602"/>
    <x v="0"/>
    <s v="Duplicate"/>
    <n v="61388.712807642398"/>
    <s v="Sale"/>
  </r>
  <r>
    <x v="95"/>
    <x v="4"/>
    <n v="2026"/>
    <x v="2"/>
    <x v="0"/>
    <x v="3"/>
    <x v="2"/>
    <n v="7"/>
    <x v="859"/>
    <n v="15315.055813041299"/>
    <x v="0"/>
    <s v="Unique"/>
    <n v="2170.9441869587008"/>
    <s v="Sale"/>
  </r>
  <r>
    <x v="72"/>
    <x v="0"/>
    <n v="2026"/>
    <x v="2"/>
    <x v="0"/>
    <x v="3"/>
    <x v="5"/>
    <n v="4"/>
    <x v="860"/>
    <m/>
    <x v="1"/>
    <s v="Unique"/>
    <n v="9088"/>
    <s v="Sale"/>
  </r>
  <r>
    <x v="14"/>
    <x v="1"/>
    <n v="2026"/>
    <x v="0"/>
    <x v="0"/>
    <x v="0"/>
    <x v="3"/>
    <n v="3"/>
    <x v="861"/>
    <n v="106304.71772814001"/>
    <x v="0"/>
    <s v="Unique"/>
    <n v="12189.282271859993"/>
    <s v="Sale"/>
  </r>
  <r>
    <x v="11"/>
    <x v="0"/>
    <n v="2026"/>
    <x v="6"/>
    <x v="0"/>
    <x v="3"/>
    <x v="0"/>
    <n v="7"/>
    <x v="862"/>
    <n v="198192.26434867401"/>
    <x v="0"/>
    <s v="Unique"/>
    <n v="149826.73565132599"/>
    <s v="Sale"/>
  </r>
  <r>
    <x v="56"/>
    <x v="6"/>
    <n v="2026"/>
    <x v="1"/>
    <x v="0"/>
    <x v="3"/>
    <x v="5"/>
    <n v="5"/>
    <x v="863"/>
    <n v="107750.295818799"/>
    <x v="0"/>
    <s v="Unique"/>
    <n v="-298925.295818799"/>
    <s v="Return"/>
  </r>
  <r>
    <x v="24"/>
    <x v="6"/>
    <n v="2026"/>
    <x v="1"/>
    <x v="0"/>
    <x v="2"/>
    <x v="1"/>
    <n v="7"/>
    <x v="864"/>
    <n v="20400.760813644501"/>
    <x v="0"/>
    <s v="Unique"/>
    <n v="5198.2391863554985"/>
    <s v="Sale"/>
  </r>
  <r>
    <x v="26"/>
    <x v="2"/>
    <n v="2026"/>
    <x v="0"/>
    <x v="0"/>
    <x v="1"/>
    <x v="3"/>
    <n v="4"/>
    <x v="865"/>
    <n v="124052.723195853"/>
    <x v="0"/>
    <s v="Unique"/>
    <n v="24303.276804146997"/>
    <s v="Sale"/>
  </r>
  <r>
    <x v="23"/>
    <x v="5"/>
    <n v="2026"/>
    <x v="4"/>
    <x v="1"/>
    <x v="2"/>
    <x v="5"/>
    <n v="10"/>
    <x v="866"/>
    <n v="47779.583773069498"/>
    <x v="0"/>
    <s v="Unique"/>
    <n v="39990.416226930502"/>
    <s v="Sale"/>
  </r>
  <r>
    <x v="156"/>
    <x v="5"/>
    <n v="2026"/>
    <x v="3"/>
    <x v="0"/>
    <x v="0"/>
    <x v="0"/>
    <n v="7"/>
    <x v="20"/>
    <n v="41909.545225396301"/>
    <x v="1"/>
    <s v="Unique"/>
    <n v="-41909.545225396301"/>
    <s v="Sale"/>
  </r>
  <r>
    <x v="193"/>
    <x v="6"/>
    <n v="2026"/>
    <x v="5"/>
    <x v="1"/>
    <x v="3"/>
    <x v="0"/>
    <n v="3"/>
    <x v="867"/>
    <n v="32631.080823662302"/>
    <x v="0"/>
    <s v="Unique"/>
    <n v="32105.919176337698"/>
    <s v="Sale"/>
  </r>
  <r>
    <x v="190"/>
    <x v="10"/>
    <n v="2026"/>
    <x v="5"/>
    <x v="1"/>
    <x v="0"/>
    <x v="2"/>
    <n v="10"/>
    <x v="868"/>
    <n v="296929.85843310301"/>
    <x v="0"/>
    <s v="Unique"/>
    <n v="116280.14156689699"/>
    <s v="Sale"/>
  </r>
  <r>
    <x v="133"/>
    <x v="2"/>
    <n v="2026"/>
    <x v="6"/>
    <x v="0"/>
    <x v="1"/>
    <x v="0"/>
    <n v="6"/>
    <x v="20"/>
    <n v="49100.894703445498"/>
    <x v="1"/>
    <s v="Unique"/>
    <n v="-49100.894703445498"/>
    <s v="Sale"/>
  </r>
  <r>
    <x v="82"/>
    <x v="0"/>
    <n v="2026"/>
    <x v="3"/>
    <x v="0"/>
    <x v="1"/>
    <x v="4"/>
    <n v="6"/>
    <x v="869"/>
    <n v="209279.199145169"/>
    <x v="0"/>
    <s v="Unique"/>
    <n v="81144.800854831003"/>
    <s v="Sale"/>
  </r>
  <r>
    <x v="63"/>
    <x v="4"/>
    <n v="2026"/>
    <x v="5"/>
    <x v="1"/>
    <x v="1"/>
    <x v="0"/>
    <n v="5"/>
    <x v="870"/>
    <n v="75069.415626059999"/>
    <x v="0"/>
    <s v="Unique"/>
    <n v="63650.584373940001"/>
    <s v="Sale"/>
  </r>
  <r>
    <x v="173"/>
    <x v="2"/>
    <n v="2026"/>
    <x v="3"/>
    <x v="0"/>
    <x v="3"/>
    <x v="1"/>
    <n v="5"/>
    <x v="871"/>
    <n v="85738.118032633007"/>
    <x v="0"/>
    <s v="Unique"/>
    <n v="28706.881967366993"/>
    <s v="Sale"/>
  </r>
  <r>
    <x v="14"/>
    <x v="1"/>
    <n v="2026"/>
    <x v="3"/>
    <x v="0"/>
    <x v="1"/>
    <x v="4"/>
    <n v="9"/>
    <x v="872"/>
    <n v="122890.96083354601"/>
    <x v="0"/>
    <s v="Unique"/>
    <n v="44365.039166453993"/>
    <s v="Sale"/>
  </r>
  <r>
    <x v="41"/>
    <x v="4"/>
    <n v="2026"/>
    <x v="4"/>
    <x v="1"/>
    <x v="0"/>
    <x v="2"/>
    <n v="3"/>
    <x v="873"/>
    <n v="45658.044242516102"/>
    <x v="0"/>
    <s v="Unique"/>
    <n v="30676.955757483898"/>
    <s v="Sale"/>
  </r>
  <r>
    <x v="21"/>
    <x v="5"/>
    <n v="2026"/>
    <x v="5"/>
    <x v="1"/>
    <x v="2"/>
    <x v="5"/>
    <n v="6"/>
    <x v="874"/>
    <n v="65907.514619736903"/>
    <x v="0"/>
    <s v="Unique"/>
    <n v="30146.485380263097"/>
    <s v="Sale"/>
  </r>
  <r>
    <x v="10"/>
    <x v="1"/>
    <n v="2026"/>
    <x v="4"/>
    <x v="1"/>
    <x v="2"/>
    <x v="1"/>
    <n v="5"/>
    <x v="875"/>
    <n v="181855.39595536"/>
    <x v="0"/>
    <s v="Unique"/>
    <n v="62849.60404464"/>
    <s v="Sale"/>
  </r>
  <r>
    <x v="77"/>
    <x v="0"/>
    <n v="2026"/>
    <x v="5"/>
    <x v="1"/>
    <x v="0"/>
    <x v="0"/>
    <n v="4"/>
    <x v="876"/>
    <n v="17256.0290549889"/>
    <x v="0"/>
    <s v="Unique"/>
    <n v="3759.9709450111004"/>
    <s v="Sale"/>
  </r>
  <r>
    <x v="35"/>
    <x v="2"/>
    <n v="2026"/>
    <x v="6"/>
    <x v="0"/>
    <x v="3"/>
    <x v="0"/>
    <n v="10"/>
    <x v="877"/>
    <n v="20833.520999298002"/>
    <x v="0"/>
    <s v="Unique"/>
    <n v="13096.479000701998"/>
    <s v="Sale"/>
  </r>
  <r>
    <x v="76"/>
    <x v="1"/>
    <n v="2026"/>
    <x v="3"/>
    <x v="0"/>
    <x v="2"/>
    <x v="1"/>
    <n v="9"/>
    <x v="20"/>
    <n v="26075.735897320501"/>
    <x v="1"/>
    <s v="Unique"/>
    <n v="-26075.735897320501"/>
    <s v="Sale"/>
  </r>
  <r>
    <x v="73"/>
    <x v="1"/>
    <n v="2026"/>
    <x v="2"/>
    <x v="0"/>
    <x v="0"/>
    <x v="2"/>
    <n v="2"/>
    <x v="878"/>
    <m/>
    <x v="1"/>
    <s v="Unique"/>
    <n v="76934"/>
    <s v="Sale"/>
  </r>
  <r>
    <x v="20"/>
    <x v="1"/>
    <n v="2026"/>
    <x v="1"/>
    <x v="0"/>
    <x v="0"/>
    <x v="1"/>
    <n v="2"/>
    <x v="879"/>
    <n v="4621.3298123446802"/>
    <x v="0"/>
    <s v="Unique"/>
    <n v="3216.6701876553198"/>
    <s v="Sale"/>
  </r>
  <r>
    <x v="127"/>
    <x v="0"/>
    <n v="2026"/>
    <x v="1"/>
    <x v="0"/>
    <x v="1"/>
    <x v="5"/>
    <n v="6"/>
    <x v="880"/>
    <n v="200104.23958457599"/>
    <x v="0"/>
    <s v="Unique"/>
    <n v="23269.760415424011"/>
    <s v="Sale"/>
  </r>
  <r>
    <x v="164"/>
    <x v="11"/>
    <n v="2026"/>
    <x v="5"/>
    <x v="1"/>
    <x v="2"/>
    <x v="3"/>
    <n v="6"/>
    <x v="881"/>
    <n v="210489.33132833001"/>
    <x v="0"/>
    <s v="Unique"/>
    <n v="72008.668671669991"/>
    <s v="Sale"/>
  </r>
  <r>
    <x v="130"/>
    <x v="2"/>
    <n v="2026"/>
    <x v="5"/>
    <x v="1"/>
    <x v="1"/>
    <x v="1"/>
    <n v="7"/>
    <x v="882"/>
    <n v="207808.00836199601"/>
    <x v="0"/>
    <s v="Unique"/>
    <n v="98371.991638003994"/>
    <s v="Sale"/>
  </r>
  <r>
    <x v="92"/>
    <x v="0"/>
    <n v="2026"/>
    <x v="2"/>
    <x v="0"/>
    <x v="3"/>
    <x v="0"/>
    <n v="2"/>
    <x v="883"/>
    <n v="31112.4160341922"/>
    <x v="0"/>
    <s v="Unique"/>
    <n v="7465.5839658078003"/>
    <s v="Sale"/>
  </r>
  <r>
    <x v="53"/>
    <x v="5"/>
    <n v="2026"/>
    <x v="4"/>
    <x v="1"/>
    <x v="2"/>
    <x v="4"/>
    <n v="8"/>
    <x v="884"/>
    <n v="27840.8530519747"/>
    <x v="0"/>
    <s v="Unique"/>
    <n v="19751.1469480253"/>
    <s v="Sale"/>
  </r>
  <r>
    <x v="54"/>
    <x v="4"/>
    <n v="2026"/>
    <x v="4"/>
    <x v="1"/>
    <x v="0"/>
    <x v="3"/>
    <n v="8"/>
    <x v="885"/>
    <n v="201928.74141048599"/>
    <x v="0"/>
    <s v="Unique"/>
    <n v="157631.25858951401"/>
    <s v="Sale"/>
  </r>
  <r>
    <x v="140"/>
    <x v="1"/>
    <n v="2026"/>
    <x v="6"/>
    <x v="0"/>
    <x v="1"/>
    <x v="2"/>
    <n v="4"/>
    <x v="886"/>
    <n v="15884.6306353004"/>
    <x v="0"/>
    <s v="Unique"/>
    <n v="10107.3693646996"/>
    <s v="Sale"/>
  </r>
  <r>
    <x v="77"/>
    <x v="0"/>
    <n v="2026"/>
    <x v="3"/>
    <x v="0"/>
    <x v="2"/>
    <x v="5"/>
    <n v="2"/>
    <x v="887"/>
    <n v="18000.7477265218"/>
    <x v="0"/>
    <s v="Unique"/>
    <n v="17529.2522734782"/>
    <s v="Sale"/>
  </r>
  <r>
    <x v="41"/>
    <x v="4"/>
    <n v="2026"/>
    <x v="6"/>
    <x v="0"/>
    <x v="2"/>
    <x v="3"/>
    <n v="7"/>
    <x v="888"/>
    <n v="62343.839249997502"/>
    <x v="0"/>
    <s v="Unique"/>
    <n v="48935.160750002498"/>
    <s v="Sale"/>
  </r>
  <r>
    <x v="205"/>
    <x v="5"/>
    <n v="2026"/>
    <x v="3"/>
    <x v="0"/>
    <x v="3"/>
    <x v="0"/>
    <n v="5"/>
    <x v="889"/>
    <n v="47647.113335599497"/>
    <x v="0"/>
    <s v="Unique"/>
    <n v="24427.886664400503"/>
    <s v="Sale"/>
  </r>
  <r>
    <x v="85"/>
    <x v="1"/>
    <n v="2026"/>
    <x v="1"/>
    <x v="0"/>
    <x v="1"/>
    <x v="4"/>
    <n v="4"/>
    <x v="20"/>
    <n v="19907.775100064398"/>
    <x v="1"/>
    <s v="Unique"/>
    <n v="-19907.775100064398"/>
    <s v="Sale"/>
  </r>
  <r>
    <x v="56"/>
    <x v="6"/>
    <n v="2026"/>
    <x v="0"/>
    <x v="0"/>
    <x v="3"/>
    <x v="2"/>
    <n v="7"/>
    <x v="890"/>
    <n v="35555.422011237097"/>
    <x v="0"/>
    <s v="Duplicate"/>
    <n v="24917.577988762903"/>
    <s v="Sale"/>
  </r>
  <r>
    <x v="87"/>
    <x v="2"/>
    <n v="2026"/>
    <x v="5"/>
    <x v="1"/>
    <x v="0"/>
    <x v="5"/>
    <n v="1"/>
    <x v="891"/>
    <n v="4693.2817919805302"/>
    <x v="0"/>
    <s v="Unique"/>
    <n v="3482.7182080194698"/>
    <s v="Sale"/>
  </r>
  <r>
    <x v="127"/>
    <x v="0"/>
    <n v="2026"/>
    <x v="1"/>
    <x v="0"/>
    <x v="1"/>
    <x v="0"/>
    <n v="6"/>
    <x v="20"/>
    <n v="106334.977794547"/>
    <x v="1"/>
    <s v="Unique"/>
    <n v="-106334.977794547"/>
    <s v="Sale"/>
  </r>
  <r>
    <x v="181"/>
    <x v="2"/>
    <n v="2026"/>
    <x v="4"/>
    <x v="1"/>
    <x v="2"/>
    <x v="1"/>
    <n v="6"/>
    <x v="892"/>
    <n v="145414.959789227"/>
    <x v="0"/>
    <s v="Unique"/>
    <n v="52897.040210773004"/>
    <s v="Sale"/>
  </r>
  <r>
    <x v="86"/>
    <x v="6"/>
    <n v="2026"/>
    <x v="2"/>
    <x v="0"/>
    <x v="1"/>
    <x v="1"/>
    <n v="9"/>
    <x v="893"/>
    <n v="93573.800977357299"/>
    <x v="0"/>
    <s v="Unique"/>
    <n v="23102.199022642701"/>
    <s v="Sale"/>
  </r>
  <r>
    <x v="43"/>
    <x v="5"/>
    <n v="2026"/>
    <x v="6"/>
    <x v="0"/>
    <x v="0"/>
    <x v="5"/>
    <n v="8"/>
    <x v="20"/>
    <n v="96159.986921063493"/>
    <x v="1"/>
    <s v="Unique"/>
    <n v="-96159.986921063493"/>
    <s v="Sale"/>
  </r>
  <r>
    <x v="101"/>
    <x v="4"/>
    <n v="2026"/>
    <x v="2"/>
    <x v="0"/>
    <x v="3"/>
    <x v="4"/>
    <n v="5"/>
    <x v="894"/>
    <n v="166113.335413405"/>
    <x v="0"/>
    <s v="Unique"/>
    <n v="68601.664586594998"/>
    <s v="Sale"/>
  </r>
  <r>
    <x v="2"/>
    <x v="2"/>
    <n v="2026"/>
    <x v="3"/>
    <x v="0"/>
    <x v="2"/>
    <x v="0"/>
    <n v="10"/>
    <x v="895"/>
    <n v="423314.527991482"/>
    <x v="0"/>
    <s v="Unique"/>
    <n v="52685.472008518002"/>
    <s v="Sale"/>
  </r>
  <r>
    <x v="50"/>
    <x v="1"/>
    <n v="2026"/>
    <x v="0"/>
    <x v="0"/>
    <x v="3"/>
    <x v="1"/>
    <n v="3"/>
    <x v="896"/>
    <n v="50258.719259146303"/>
    <x v="0"/>
    <s v="Unique"/>
    <n v="7902.2807408536974"/>
    <s v="Sale"/>
  </r>
  <r>
    <x v="158"/>
    <x v="5"/>
    <n v="2026"/>
    <x v="6"/>
    <x v="0"/>
    <x v="0"/>
    <x v="1"/>
    <n v="2"/>
    <x v="897"/>
    <n v="49753.950103408199"/>
    <x v="0"/>
    <s v="Duplicate"/>
    <n v="11060.049896591801"/>
    <s v="Sale"/>
  </r>
  <r>
    <x v="114"/>
    <x v="6"/>
    <n v="2026"/>
    <x v="0"/>
    <x v="0"/>
    <x v="1"/>
    <x v="2"/>
    <n v="3"/>
    <x v="898"/>
    <n v="96523.629114132898"/>
    <x v="0"/>
    <s v="Unique"/>
    <n v="12337.370885867102"/>
    <s v="Sale"/>
  </r>
  <r>
    <x v="62"/>
    <x v="5"/>
    <n v="2026"/>
    <x v="5"/>
    <x v="1"/>
    <x v="2"/>
    <x v="2"/>
    <n v="1"/>
    <x v="899"/>
    <n v="9959.7067866423495"/>
    <x v="0"/>
    <s v="Unique"/>
    <n v="6282.2932133576505"/>
    <s v="Sale"/>
  </r>
  <r>
    <x v="85"/>
    <x v="1"/>
    <n v="2026"/>
    <x v="1"/>
    <x v="0"/>
    <x v="0"/>
    <x v="0"/>
    <n v="6"/>
    <x v="900"/>
    <n v="100447.570748174"/>
    <x v="0"/>
    <s v="Unique"/>
    <n v="22936.429251826004"/>
    <s v="Sale"/>
  </r>
  <r>
    <x v="161"/>
    <x v="6"/>
    <n v="2026"/>
    <x v="0"/>
    <x v="0"/>
    <x v="1"/>
    <x v="2"/>
    <n v="10"/>
    <x v="20"/>
    <n v="44923.623868174902"/>
    <x v="1"/>
    <s v="Unique"/>
    <n v="-44923.623868174902"/>
    <s v="Sale"/>
  </r>
  <r>
    <x v="36"/>
    <x v="0"/>
    <n v="2026"/>
    <x v="1"/>
    <x v="0"/>
    <x v="0"/>
    <x v="3"/>
    <n v="10"/>
    <x v="901"/>
    <n v="127322.90095672599"/>
    <x v="0"/>
    <s v="Unique"/>
    <n v="96317.099043274007"/>
    <s v="Sale"/>
  </r>
  <r>
    <x v="130"/>
    <x v="2"/>
    <n v="2026"/>
    <x v="4"/>
    <x v="1"/>
    <x v="3"/>
    <x v="1"/>
    <n v="4"/>
    <x v="902"/>
    <n v="54064.1042739158"/>
    <x v="0"/>
    <s v="Unique"/>
    <n v="32855.8957260842"/>
    <s v="Sale"/>
  </r>
  <r>
    <x v="47"/>
    <x v="2"/>
    <n v="2026"/>
    <x v="3"/>
    <x v="0"/>
    <x v="2"/>
    <x v="0"/>
    <n v="9"/>
    <x v="903"/>
    <n v="216685.33093192201"/>
    <x v="0"/>
    <s v="Unique"/>
    <n v="61954.669068077987"/>
    <s v="Sale"/>
  </r>
  <r>
    <x v="202"/>
    <x v="1"/>
    <n v="2026"/>
    <x v="3"/>
    <x v="0"/>
    <x v="3"/>
    <x v="4"/>
    <n v="9"/>
    <x v="904"/>
    <n v="29650.1462396393"/>
    <x v="0"/>
    <s v="Unique"/>
    <n v="3928.8537603607001"/>
    <s v="Sale"/>
  </r>
  <r>
    <x v="59"/>
    <x v="5"/>
    <n v="2026"/>
    <x v="5"/>
    <x v="1"/>
    <x v="1"/>
    <x v="1"/>
    <n v="9"/>
    <x v="905"/>
    <n v="299241.76144532801"/>
    <x v="0"/>
    <s v="Unique"/>
    <n v="52343.238554671989"/>
    <s v="Sale"/>
  </r>
  <r>
    <x v="31"/>
    <x v="0"/>
    <n v="2026"/>
    <x v="2"/>
    <x v="0"/>
    <x v="3"/>
    <x v="4"/>
    <n v="2"/>
    <x v="906"/>
    <n v="6790.9250666268399"/>
    <x v="0"/>
    <s v="Unique"/>
    <n v="4377.0749333731601"/>
    <s v="Sale"/>
  </r>
  <r>
    <x v="108"/>
    <x v="5"/>
    <n v="2026"/>
    <x v="2"/>
    <x v="0"/>
    <x v="2"/>
    <x v="4"/>
    <n v="10"/>
    <x v="907"/>
    <n v="325385.61041966401"/>
    <x v="0"/>
    <s v="Unique"/>
    <n v="136594.38958033599"/>
    <s v="Sale"/>
  </r>
  <r>
    <x v="110"/>
    <x v="4"/>
    <n v="2026"/>
    <x v="4"/>
    <x v="1"/>
    <x v="1"/>
    <x v="3"/>
    <n v="5"/>
    <x v="20"/>
    <n v="220015.24865653799"/>
    <x v="1"/>
    <s v="Unique"/>
    <n v="-220015.24865653799"/>
    <s v="Sale"/>
  </r>
  <r>
    <x v="81"/>
    <x v="6"/>
    <n v="2026"/>
    <x v="4"/>
    <x v="1"/>
    <x v="2"/>
    <x v="1"/>
    <n v="2"/>
    <x v="908"/>
    <n v="21174.515604291199"/>
    <x v="0"/>
    <s v="Unique"/>
    <n v="15225.484395708801"/>
    <s v="Sale"/>
  </r>
  <r>
    <x v="7"/>
    <x v="6"/>
    <n v="2026"/>
    <x v="3"/>
    <x v="0"/>
    <x v="1"/>
    <x v="0"/>
    <n v="9"/>
    <x v="909"/>
    <n v="142128.46383521901"/>
    <x v="0"/>
    <s v="Unique"/>
    <n v="29384.536164780991"/>
    <s v="Sale"/>
  </r>
  <r>
    <x v="85"/>
    <x v="1"/>
    <n v="2026"/>
    <x v="1"/>
    <x v="0"/>
    <x v="1"/>
    <x v="0"/>
    <n v="4"/>
    <x v="910"/>
    <n v="37177.830921689201"/>
    <x v="0"/>
    <s v="Unique"/>
    <n v="15586.169078310799"/>
    <s v="Sale"/>
  </r>
  <r>
    <x v="108"/>
    <x v="5"/>
    <n v="2026"/>
    <x v="3"/>
    <x v="0"/>
    <x v="0"/>
    <x v="5"/>
    <n v="5"/>
    <x v="911"/>
    <n v="90415.086642568203"/>
    <x v="0"/>
    <s v="Unique"/>
    <n v="47764.913357431797"/>
    <s v="Sale"/>
  </r>
  <r>
    <x v="80"/>
    <x v="9"/>
    <n v="2026"/>
    <x v="3"/>
    <x v="0"/>
    <x v="2"/>
    <x v="1"/>
    <n v="7"/>
    <x v="20"/>
    <n v="13951.6289844"/>
    <x v="1"/>
    <s v="Unique"/>
    <n v="-13951.6289844"/>
    <s v="Sale"/>
  </r>
  <r>
    <x v="60"/>
    <x v="1"/>
    <n v="2026"/>
    <x v="5"/>
    <x v="1"/>
    <x v="1"/>
    <x v="2"/>
    <n v="8"/>
    <x v="912"/>
    <n v="81175.974035987601"/>
    <x v="0"/>
    <s v="Unique"/>
    <n v="80000.025964012399"/>
    <s v="Sale"/>
  </r>
  <r>
    <x v="198"/>
    <x v="2"/>
    <n v="2026"/>
    <x v="3"/>
    <x v="0"/>
    <x v="2"/>
    <x v="0"/>
    <n v="3"/>
    <x v="913"/>
    <n v="57312.941648256703"/>
    <x v="0"/>
    <s v="Unique"/>
    <n v="17864.058351743297"/>
    <s v="Sale"/>
  </r>
  <r>
    <x v="130"/>
    <x v="2"/>
    <n v="2026"/>
    <x v="5"/>
    <x v="1"/>
    <x v="3"/>
    <x v="4"/>
    <n v="8"/>
    <x v="914"/>
    <n v="188863.695624685"/>
    <x v="0"/>
    <s v="Unique"/>
    <n v="24536.304375314998"/>
    <s v="Sale"/>
  </r>
  <r>
    <x v="27"/>
    <x v="4"/>
    <n v="2026"/>
    <x v="4"/>
    <x v="1"/>
    <x v="0"/>
    <x v="1"/>
    <n v="10"/>
    <x v="915"/>
    <n v="182069.78354050999"/>
    <x v="0"/>
    <s v="Unique"/>
    <n v="-430189.78354050999"/>
    <s v="Return"/>
  </r>
  <r>
    <x v="109"/>
    <x v="2"/>
    <n v="2026"/>
    <x v="3"/>
    <x v="0"/>
    <x v="3"/>
    <x v="3"/>
    <n v="4"/>
    <x v="916"/>
    <n v="37965.102805063703"/>
    <x v="0"/>
    <s v="Unique"/>
    <n v="32058.897194936297"/>
    <s v="Sale"/>
  </r>
  <r>
    <x v="45"/>
    <x v="1"/>
    <n v="2026"/>
    <x v="5"/>
    <x v="1"/>
    <x v="2"/>
    <x v="4"/>
    <n v="2"/>
    <x v="917"/>
    <n v="49828.044736647702"/>
    <x v="0"/>
    <s v="Unique"/>
    <n v="12043.955263352298"/>
    <s v="Sale"/>
  </r>
  <r>
    <x v="37"/>
    <x v="5"/>
    <n v="2026"/>
    <x v="3"/>
    <x v="0"/>
    <x v="3"/>
    <x v="0"/>
    <n v="10"/>
    <x v="918"/>
    <n v="223073.53598108501"/>
    <x v="0"/>
    <s v="Unique"/>
    <n v="161606.46401891499"/>
    <s v="Sale"/>
  </r>
  <r>
    <x v="152"/>
    <x v="2"/>
    <n v="2026"/>
    <x v="6"/>
    <x v="0"/>
    <x v="1"/>
    <x v="4"/>
    <n v="10"/>
    <x v="919"/>
    <n v="26969.067997809601"/>
    <x v="0"/>
    <s v="Unique"/>
    <n v="8910.9320021903986"/>
    <s v="Sale"/>
  </r>
  <r>
    <x v="169"/>
    <x v="6"/>
    <n v="2026"/>
    <x v="6"/>
    <x v="0"/>
    <x v="2"/>
    <x v="3"/>
    <n v="3"/>
    <x v="920"/>
    <n v="111003.061040602"/>
    <x v="0"/>
    <s v="Duplicate"/>
    <n v="29153.938959398001"/>
    <s v="Sale"/>
  </r>
  <r>
    <x v="198"/>
    <x v="2"/>
    <n v="2026"/>
    <x v="5"/>
    <x v="1"/>
    <x v="0"/>
    <x v="1"/>
    <n v="9"/>
    <x v="921"/>
    <n v="81501.698307557293"/>
    <x v="0"/>
    <s v="Duplicate"/>
    <n v="17813.301692442707"/>
    <s v="Sale"/>
  </r>
  <r>
    <x v="84"/>
    <x v="4"/>
    <n v="2026"/>
    <x v="2"/>
    <x v="0"/>
    <x v="0"/>
    <x v="4"/>
    <n v="2"/>
    <x v="922"/>
    <n v="41080.584714302102"/>
    <x v="0"/>
    <s v="Unique"/>
    <n v="28285.415285697898"/>
    <s v="Sale"/>
  </r>
  <r>
    <x v="108"/>
    <x v="5"/>
    <n v="2026"/>
    <x v="0"/>
    <x v="0"/>
    <x v="0"/>
    <x v="4"/>
    <n v="3"/>
    <x v="923"/>
    <n v="33190.436124870401"/>
    <x v="0"/>
    <s v="Unique"/>
    <n v="29443.563875129599"/>
    <s v="Sale"/>
  </r>
  <r>
    <x v="206"/>
    <x v="4"/>
    <n v="2026"/>
    <x v="6"/>
    <x v="0"/>
    <x v="2"/>
    <x v="1"/>
    <n v="8"/>
    <x v="20"/>
    <n v="117172.09749464301"/>
    <x v="1"/>
    <s v="Unique"/>
    <n v="-117172.09749464301"/>
    <s v="Sale"/>
  </r>
  <r>
    <x v="115"/>
    <x v="6"/>
    <n v="2026"/>
    <x v="6"/>
    <x v="0"/>
    <x v="0"/>
    <x v="5"/>
    <n v="1"/>
    <x v="924"/>
    <n v="12163.7378988196"/>
    <x v="0"/>
    <s v="Unique"/>
    <n v="5277.2621011804004"/>
    <s v="Sale"/>
  </r>
  <r>
    <x v="144"/>
    <x v="6"/>
    <n v="2026"/>
    <x v="3"/>
    <x v="0"/>
    <x v="2"/>
    <x v="1"/>
    <n v="8"/>
    <x v="20"/>
    <m/>
    <x v="2"/>
    <s v="Unique"/>
    <n v="0"/>
    <s v="Sale"/>
  </r>
  <r>
    <x v="67"/>
    <x v="0"/>
    <n v="2026"/>
    <x v="2"/>
    <x v="0"/>
    <x v="1"/>
    <x v="4"/>
    <n v="1"/>
    <x v="925"/>
    <n v="3016.8026221717901"/>
    <x v="0"/>
    <s v="Unique"/>
    <n v="710.19737782820994"/>
    <s v="Sale"/>
  </r>
  <r>
    <x v="157"/>
    <x v="0"/>
    <n v="2026"/>
    <x v="3"/>
    <x v="0"/>
    <x v="2"/>
    <x v="2"/>
    <n v="7"/>
    <x v="926"/>
    <n v="183199.22386624201"/>
    <x v="0"/>
    <s v="Unique"/>
    <n v="149832.77613375799"/>
    <s v="Sale"/>
  </r>
  <r>
    <x v="120"/>
    <x v="6"/>
    <n v="2026"/>
    <x v="5"/>
    <x v="1"/>
    <x v="0"/>
    <x v="0"/>
    <n v="6"/>
    <x v="927"/>
    <n v="159264.58403515001"/>
    <x v="0"/>
    <s v="Unique"/>
    <n v="-342912.58403515001"/>
    <s v="Return"/>
  </r>
  <r>
    <x v="172"/>
    <x v="1"/>
    <n v="2026"/>
    <x v="2"/>
    <x v="0"/>
    <x v="2"/>
    <x v="4"/>
    <n v="4"/>
    <x v="928"/>
    <n v="12156.008107178901"/>
    <x v="0"/>
    <s v="Unique"/>
    <n v="10751.991892821099"/>
    <s v="Sale"/>
  </r>
  <r>
    <x v="97"/>
    <x v="5"/>
    <n v="2026"/>
    <x v="5"/>
    <x v="1"/>
    <x v="1"/>
    <x v="1"/>
    <n v="7"/>
    <x v="929"/>
    <n v="178247.59086822101"/>
    <x v="0"/>
    <s v="Unique"/>
    <n v="55356.409131778986"/>
    <s v="Sale"/>
  </r>
  <r>
    <x v="173"/>
    <x v="2"/>
    <n v="2026"/>
    <x v="5"/>
    <x v="1"/>
    <x v="1"/>
    <x v="2"/>
    <n v="5"/>
    <x v="930"/>
    <n v="105761.67667560899"/>
    <x v="0"/>
    <s v="Unique"/>
    <n v="24473.323324391007"/>
    <s v="Sale"/>
  </r>
  <r>
    <x v="155"/>
    <x v="5"/>
    <n v="2026"/>
    <x v="1"/>
    <x v="0"/>
    <x v="2"/>
    <x v="3"/>
    <n v="7"/>
    <x v="931"/>
    <n v="297203.69947966002"/>
    <x v="0"/>
    <s v="Duplicate"/>
    <n v="40441.300520339981"/>
    <s v="Sale"/>
  </r>
  <r>
    <x v="121"/>
    <x v="4"/>
    <n v="2026"/>
    <x v="4"/>
    <x v="1"/>
    <x v="2"/>
    <x v="3"/>
    <n v="3"/>
    <x v="932"/>
    <n v="11629.6886383537"/>
    <x v="0"/>
    <s v="Unique"/>
    <n v="1420.3113616462997"/>
    <s v="Sale"/>
  </r>
  <r>
    <x v="81"/>
    <x v="6"/>
    <n v="2026"/>
    <x v="2"/>
    <x v="0"/>
    <x v="2"/>
    <x v="3"/>
    <n v="5"/>
    <x v="933"/>
    <n v="132531.727032091"/>
    <x v="0"/>
    <s v="Unique"/>
    <n v="70218.272967908997"/>
    <s v="Sale"/>
  </r>
  <r>
    <x v="111"/>
    <x v="0"/>
    <n v="2026"/>
    <x v="3"/>
    <x v="0"/>
    <x v="3"/>
    <x v="2"/>
    <n v="1"/>
    <x v="934"/>
    <n v="9729.5178346013199"/>
    <x v="0"/>
    <s v="Unique"/>
    <n v="6979.4821653986801"/>
    <s v="Sale"/>
  </r>
  <r>
    <x v="12"/>
    <x v="5"/>
    <n v="2026"/>
    <x v="2"/>
    <x v="0"/>
    <x v="0"/>
    <x v="4"/>
    <n v="10"/>
    <x v="935"/>
    <n v="208874.560565469"/>
    <x v="0"/>
    <s v="Unique"/>
    <n v="31465.439434530999"/>
    <s v="Sale"/>
  </r>
  <r>
    <x v="196"/>
    <x v="6"/>
    <n v="2026"/>
    <x v="3"/>
    <x v="0"/>
    <x v="3"/>
    <x v="5"/>
    <n v="1"/>
    <x v="936"/>
    <n v="6605.1058579055298"/>
    <x v="0"/>
    <s v="Unique"/>
    <n v="2551.8941420944702"/>
    <s v="Sale"/>
  </r>
  <r>
    <x v="136"/>
    <x v="4"/>
    <n v="2026"/>
    <x v="6"/>
    <x v="0"/>
    <x v="0"/>
    <x v="0"/>
    <n v="7"/>
    <x v="937"/>
    <n v="182312.32960232699"/>
    <x v="0"/>
    <s v="Unique"/>
    <n v="-410701.32960232696"/>
    <s v="Return"/>
  </r>
  <r>
    <x v="157"/>
    <x v="0"/>
    <n v="2026"/>
    <x v="4"/>
    <x v="1"/>
    <x v="0"/>
    <x v="3"/>
    <n v="10"/>
    <x v="938"/>
    <n v="143602.27589515201"/>
    <x v="0"/>
    <s v="Unique"/>
    <n v="134997.72410484799"/>
    <s v="Sale"/>
  </r>
  <r>
    <x v="123"/>
    <x v="0"/>
    <n v="2026"/>
    <x v="1"/>
    <x v="0"/>
    <x v="0"/>
    <x v="1"/>
    <n v="6"/>
    <x v="939"/>
    <m/>
    <x v="1"/>
    <s v="Unique"/>
    <n v="-116010"/>
    <s v="Return"/>
  </r>
  <r>
    <x v="144"/>
    <x v="6"/>
    <n v="2026"/>
    <x v="2"/>
    <x v="0"/>
    <x v="1"/>
    <x v="2"/>
    <n v="1"/>
    <x v="940"/>
    <n v="35005.588521607002"/>
    <x v="0"/>
    <s v="Unique"/>
    <n v="4976.4114783929981"/>
    <s v="Sale"/>
  </r>
  <r>
    <x v="103"/>
    <x v="6"/>
    <n v="2026"/>
    <x v="2"/>
    <x v="0"/>
    <x v="0"/>
    <x v="3"/>
    <n v="8"/>
    <x v="941"/>
    <n v="48870.653974671499"/>
    <x v="0"/>
    <s v="Unique"/>
    <n v="33825.346025328501"/>
    <s v="Sale"/>
  </r>
  <r>
    <x v="24"/>
    <x v="6"/>
    <n v="2026"/>
    <x v="1"/>
    <x v="0"/>
    <x v="1"/>
    <x v="5"/>
    <n v="9"/>
    <x v="20"/>
    <n v="203267.18849843999"/>
    <x v="1"/>
    <s v="Unique"/>
    <n v="-203267.18849843999"/>
    <s v="Sale"/>
  </r>
  <r>
    <x v="23"/>
    <x v="5"/>
    <n v="2026"/>
    <x v="2"/>
    <x v="0"/>
    <x v="0"/>
    <x v="1"/>
    <n v="1"/>
    <x v="942"/>
    <n v="24562.230977015101"/>
    <x v="0"/>
    <s v="Unique"/>
    <n v="16796.769022984899"/>
    <s v="Sale"/>
  </r>
  <r>
    <x v="193"/>
    <x v="6"/>
    <n v="2026"/>
    <x v="5"/>
    <x v="1"/>
    <x v="3"/>
    <x v="4"/>
    <n v="7"/>
    <x v="943"/>
    <n v="80165.594651057298"/>
    <x v="0"/>
    <s v="Unique"/>
    <n v="63698.405348942702"/>
    <s v="Sale"/>
  </r>
  <r>
    <x v="122"/>
    <x v="4"/>
    <n v="2026"/>
    <x v="2"/>
    <x v="0"/>
    <x v="0"/>
    <x v="2"/>
    <n v="9"/>
    <x v="498"/>
    <n v="45499.3699476088"/>
    <x v="0"/>
    <s v="Duplicate"/>
    <n v="18643.6300523912"/>
    <s v="Sale"/>
  </r>
  <r>
    <x v="138"/>
    <x v="1"/>
    <n v="2026"/>
    <x v="5"/>
    <x v="1"/>
    <x v="3"/>
    <x v="3"/>
    <n v="5"/>
    <x v="703"/>
    <n v="68985.199360234503"/>
    <x v="0"/>
    <s v="Duplicate"/>
    <n v="66309.800639765497"/>
    <s v="Sale"/>
  </r>
  <r>
    <x v="24"/>
    <x v="6"/>
    <n v="2026"/>
    <x v="5"/>
    <x v="1"/>
    <x v="3"/>
    <x v="2"/>
    <n v="10"/>
    <x v="706"/>
    <n v="226867.76127054301"/>
    <x v="0"/>
    <s v="Duplicate"/>
    <n v="222592.23872945699"/>
    <s v="Sale"/>
  </r>
  <r>
    <x v="145"/>
    <x v="0"/>
    <n v="2026"/>
    <x v="3"/>
    <x v="0"/>
    <x v="2"/>
    <x v="4"/>
    <n v="7"/>
    <x v="629"/>
    <n v="34120.341278022199"/>
    <x v="0"/>
    <s v="Duplicate"/>
    <n v="33401.658721977801"/>
    <s v="Sale"/>
  </r>
  <r>
    <x v="176"/>
    <x v="6"/>
    <n v="2026"/>
    <x v="0"/>
    <x v="0"/>
    <x v="1"/>
    <x v="2"/>
    <n v="2"/>
    <x v="391"/>
    <m/>
    <x v="1"/>
    <s v="Unique"/>
    <n v="95520"/>
    <s v="Sale"/>
  </r>
  <r>
    <x v="115"/>
    <x v="6"/>
    <n v="2026"/>
    <x v="0"/>
    <x v="0"/>
    <x v="1"/>
    <x v="1"/>
    <n v="1"/>
    <x v="647"/>
    <n v="38707.373086804801"/>
    <x v="0"/>
    <s v="Duplicate"/>
    <n v="4685.6269131951994"/>
    <s v="Sale"/>
  </r>
  <r>
    <x v="21"/>
    <x v="5"/>
    <n v="2026"/>
    <x v="3"/>
    <x v="0"/>
    <x v="1"/>
    <x v="2"/>
    <n v="4"/>
    <x v="595"/>
    <n v="24867.687234597099"/>
    <x v="0"/>
    <s v="Duplicate"/>
    <n v="20952.312765402901"/>
    <s v="Sale"/>
  </r>
  <r>
    <x v="83"/>
    <x v="0"/>
    <n v="2026"/>
    <x v="0"/>
    <x v="0"/>
    <x v="1"/>
    <x v="2"/>
    <n v="9"/>
    <x v="490"/>
    <n v="124590.79468386099"/>
    <x v="0"/>
    <s v="Duplicate"/>
    <n v="65336.205316139007"/>
    <s v="Sale"/>
  </r>
  <r>
    <x v="178"/>
    <x v="4"/>
    <n v="2026"/>
    <x v="0"/>
    <x v="0"/>
    <x v="2"/>
    <x v="0"/>
    <n v="3"/>
    <x v="817"/>
    <n v="80752.630333963694"/>
    <x v="0"/>
    <s v="Duplicate"/>
    <n v="19702.369666036306"/>
    <s v="Sale"/>
  </r>
  <r>
    <x v="98"/>
    <x v="2"/>
    <n v="2026"/>
    <x v="0"/>
    <x v="0"/>
    <x v="3"/>
    <x v="4"/>
    <n v="5"/>
    <x v="20"/>
    <n v="54516.759884927204"/>
    <x v="1"/>
    <s v="Unique"/>
    <n v="-54516.759884927204"/>
    <s v="Sale"/>
  </r>
  <r>
    <x v="198"/>
    <x v="2"/>
    <n v="2026"/>
    <x v="4"/>
    <x v="1"/>
    <x v="1"/>
    <x v="4"/>
    <n v="9"/>
    <x v="773"/>
    <n v="231118.23828671701"/>
    <x v="0"/>
    <s v="Duplicate"/>
    <n v="50662.761713282991"/>
    <s v="Sale"/>
  </r>
  <r>
    <x v="65"/>
    <x v="0"/>
    <n v="2026"/>
    <x v="3"/>
    <x v="0"/>
    <x v="1"/>
    <x v="2"/>
    <n v="9"/>
    <x v="73"/>
    <n v="67506.961845830505"/>
    <x v="0"/>
    <s v="Duplicate"/>
    <n v="35804.038154169495"/>
    <s v="Sale"/>
  </r>
  <r>
    <x v="162"/>
    <x v="6"/>
    <n v="2026"/>
    <x v="0"/>
    <x v="0"/>
    <x v="1"/>
    <x v="4"/>
    <n v="8"/>
    <x v="605"/>
    <m/>
    <x v="1"/>
    <s v="Unique"/>
    <n v="119944"/>
    <s v="Sale"/>
  </r>
  <r>
    <x v="169"/>
    <x v="6"/>
    <n v="2026"/>
    <x v="6"/>
    <x v="0"/>
    <x v="2"/>
    <x v="3"/>
    <n v="3"/>
    <x v="920"/>
    <n v="111003.061040602"/>
    <x v="0"/>
    <s v="Duplicate"/>
    <n v="29153.938959398001"/>
    <s v="Sale"/>
  </r>
  <r>
    <x v="56"/>
    <x v="6"/>
    <n v="2026"/>
    <x v="0"/>
    <x v="0"/>
    <x v="3"/>
    <x v="2"/>
    <n v="7"/>
    <x v="890"/>
    <n v="35555.422011237097"/>
    <x v="0"/>
    <s v="Duplicate"/>
    <n v="24917.577988762903"/>
    <s v="Sale"/>
  </r>
  <r>
    <x v="35"/>
    <x v="2"/>
    <n v="2026"/>
    <x v="3"/>
    <x v="0"/>
    <x v="3"/>
    <x v="2"/>
    <n v="6"/>
    <x v="855"/>
    <n v="125100.13860036399"/>
    <x v="0"/>
    <s v="Duplicate"/>
    <n v="25391.861399636007"/>
    <s v="Sale"/>
  </r>
  <r>
    <x v="148"/>
    <x v="2"/>
    <n v="2026"/>
    <x v="5"/>
    <x v="1"/>
    <x v="0"/>
    <x v="2"/>
    <n v="3"/>
    <x v="268"/>
    <n v="9551.6821045328707"/>
    <x v="0"/>
    <s v="Duplicate"/>
    <n v="3258.3178954671293"/>
    <s v="Sale"/>
  </r>
  <r>
    <x v="157"/>
    <x v="0"/>
    <n v="2026"/>
    <x v="6"/>
    <x v="0"/>
    <x v="2"/>
    <x v="0"/>
    <n v="10"/>
    <x v="840"/>
    <m/>
    <x v="1"/>
    <s v="Unique"/>
    <n v="431420"/>
    <s v="Sale"/>
  </r>
  <r>
    <x v="198"/>
    <x v="2"/>
    <n v="2026"/>
    <x v="3"/>
    <x v="0"/>
    <x v="2"/>
    <x v="0"/>
    <n v="4"/>
    <x v="725"/>
    <n v="22977.897243816598"/>
    <x v="0"/>
    <s v="Duplicate"/>
    <n v="12778.102756183402"/>
    <s v="Sale"/>
  </r>
  <r>
    <x v="16"/>
    <x v="4"/>
    <n v="2026"/>
    <x v="0"/>
    <x v="0"/>
    <x v="1"/>
    <x v="5"/>
    <n v="9"/>
    <x v="305"/>
    <n v="321096.98781986098"/>
    <x v="0"/>
    <s v="Duplicate"/>
    <n v="73391.01218013902"/>
    <s v="Sale"/>
  </r>
  <r>
    <x v="70"/>
    <x v="8"/>
    <n v="2026"/>
    <x v="3"/>
    <x v="0"/>
    <x v="2"/>
    <x v="4"/>
    <n v="1"/>
    <x v="522"/>
    <n v="11975.716897816599"/>
    <x v="0"/>
    <s v="Duplicate"/>
    <n v="1782.2831021834008"/>
    <s v="Sale"/>
  </r>
  <r>
    <x v="16"/>
    <x v="4"/>
    <n v="2026"/>
    <x v="3"/>
    <x v="0"/>
    <x v="0"/>
    <x v="0"/>
    <n v="5"/>
    <x v="165"/>
    <n v="14625.939809433599"/>
    <x v="0"/>
    <s v="Duplicate"/>
    <n v="9154.0601905664007"/>
    <s v="Sale"/>
  </r>
  <r>
    <x v="116"/>
    <x v="4"/>
    <n v="2026"/>
    <x v="5"/>
    <x v="1"/>
    <x v="0"/>
    <x v="4"/>
    <n v="9"/>
    <x v="20"/>
    <n v="192228.317510758"/>
    <x v="1"/>
    <s v="Unique"/>
    <n v="-192228.317510758"/>
    <s v="Sale"/>
  </r>
  <r>
    <x v="176"/>
    <x v="6"/>
    <n v="2026"/>
    <x v="4"/>
    <x v="1"/>
    <x v="1"/>
    <x v="2"/>
    <n v="7"/>
    <x v="503"/>
    <n v="112951.28046073701"/>
    <x v="0"/>
    <s v="Duplicate"/>
    <n v="76825.719539262995"/>
    <s v="Sale"/>
  </r>
  <r>
    <x v="67"/>
    <x v="0"/>
    <n v="2026"/>
    <x v="3"/>
    <x v="0"/>
    <x v="3"/>
    <x v="1"/>
    <n v="8"/>
    <x v="200"/>
    <n v="34275.420239773899"/>
    <x v="0"/>
    <s v="Duplicate"/>
    <n v="11140.579760226101"/>
    <s v="Sale"/>
  </r>
  <r>
    <x v="132"/>
    <x v="0"/>
    <n v="2026"/>
    <x v="6"/>
    <x v="0"/>
    <x v="2"/>
    <x v="5"/>
    <n v="3"/>
    <x v="224"/>
    <n v="36971.659037461301"/>
    <x v="0"/>
    <s v="Duplicate"/>
    <n v="30600.340962538699"/>
    <s v="Sale"/>
  </r>
  <r>
    <x v="79"/>
    <x v="1"/>
    <n v="2026"/>
    <x v="1"/>
    <x v="0"/>
    <x v="3"/>
    <x v="1"/>
    <n v="4"/>
    <x v="97"/>
    <n v="87557.708921985293"/>
    <x v="0"/>
    <s v="Duplicate"/>
    <n v="81686.291078014707"/>
    <s v="Sale"/>
  </r>
  <r>
    <x v="155"/>
    <x v="5"/>
    <n v="2026"/>
    <x v="1"/>
    <x v="0"/>
    <x v="2"/>
    <x v="3"/>
    <n v="7"/>
    <x v="931"/>
    <n v="297203.69947966002"/>
    <x v="0"/>
    <s v="Duplicate"/>
    <n v="40441.300520339981"/>
    <s v="Sale"/>
  </r>
  <r>
    <x v="186"/>
    <x v="0"/>
    <n v="2026"/>
    <x v="3"/>
    <x v="0"/>
    <x v="2"/>
    <x v="5"/>
    <n v="5"/>
    <x v="858"/>
    <n v="86446.287192357602"/>
    <x v="0"/>
    <s v="Duplicate"/>
    <n v="61388.712807642398"/>
    <s v="Sale"/>
  </r>
  <r>
    <x v="158"/>
    <x v="5"/>
    <n v="2026"/>
    <x v="6"/>
    <x v="0"/>
    <x v="0"/>
    <x v="1"/>
    <n v="2"/>
    <x v="897"/>
    <n v="49753.950103408199"/>
    <x v="0"/>
    <s v="Duplicate"/>
    <n v="11060.049896591801"/>
    <s v="Sale"/>
  </r>
  <r>
    <x v="166"/>
    <x v="6"/>
    <n v="2026"/>
    <x v="5"/>
    <x v="1"/>
    <x v="0"/>
    <x v="5"/>
    <n v="5"/>
    <x v="330"/>
    <m/>
    <x v="1"/>
    <s v="Unique"/>
    <n v="189465"/>
    <s v="Sale"/>
  </r>
  <r>
    <x v="27"/>
    <x v="4"/>
    <n v="2026"/>
    <x v="3"/>
    <x v="0"/>
    <x v="2"/>
    <x v="5"/>
    <n v="7"/>
    <x v="20"/>
    <n v="111419.281425019"/>
    <x v="1"/>
    <s v="Unique"/>
    <n v="-111419.281425019"/>
    <s v="Sale"/>
  </r>
  <r>
    <x v="172"/>
    <x v="1"/>
    <n v="2026"/>
    <x v="1"/>
    <x v="0"/>
    <x v="1"/>
    <x v="2"/>
    <n v="5"/>
    <x v="591"/>
    <n v="78917.087329162896"/>
    <x v="0"/>
    <s v="Duplicate"/>
    <n v="25137.912670837104"/>
    <s v="Sale"/>
  </r>
  <r>
    <x v="129"/>
    <x v="6"/>
    <n v="2026"/>
    <x v="4"/>
    <x v="1"/>
    <x v="1"/>
    <x v="3"/>
    <n v="8"/>
    <x v="476"/>
    <n v="181331.15799341799"/>
    <x v="0"/>
    <s v="Duplicate"/>
    <n v="109196.84200658201"/>
    <s v="Sale"/>
  </r>
  <r>
    <x v="93"/>
    <x v="0"/>
    <n v="2026"/>
    <x v="2"/>
    <x v="0"/>
    <x v="3"/>
    <x v="2"/>
    <n v="7"/>
    <x v="353"/>
    <n v="162462.68745170999"/>
    <x v="0"/>
    <s v="Duplicate"/>
    <n v="154644.31254829001"/>
    <s v="Sale"/>
  </r>
  <r>
    <x v="76"/>
    <x v="1"/>
    <n v="2026"/>
    <x v="3"/>
    <x v="0"/>
    <x v="1"/>
    <x v="2"/>
    <n v="4"/>
    <x v="188"/>
    <n v="43509.4137796586"/>
    <x v="0"/>
    <s v="Duplicate"/>
    <n v="31334.5862203414"/>
    <s v="Sale"/>
  </r>
  <r>
    <x v="8"/>
    <x v="4"/>
    <n v="2026"/>
    <x v="0"/>
    <x v="0"/>
    <x v="3"/>
    <x v="5"/>
    <n v="7"/>
    <x v="656"/>
    <n v="49473.633468059299"/>
    <x v="0"/>
    <s v="Duplicate"/>
    <n v="39230.366531940701"/>
    <s v="Sale"/>
  </r>
  <r>
    <x v="150"/>
    <x v="0"/>
    <n v="2026"/>
    <x v="3"/>
    <x v="0"/>
    <x v="0"/>
    <x v="2"/>
    <n v="3"/>
    <x v="555"/>
    <n v="78945.851567085701"/>
    <x v="0"/>
    <s v="Duplicate"/>
    <n v="36329.148432914299"/>
    <s v="Sale"/>
  </r>
  <r>
    <x v="195"/>
    <x v="0"/>
    <n v="2026"/>
    <x v="2"/>
    <x v="0"/>
    <x v="2"/>
    <x v="4"/>
    <n v="2"/>
    <x v="857"/>
    <n v="11966.1151935657"/>
    <x v="0"/>
    <s v="Duplicate"/>
    <n v="3781.8848064343001"/>
    <s v="Sale"/>
  </r>
  <r>
    <x v="25"/>
    <x v="1"/>
    <n v="2026"/>
    <x v="3"/>
    <x v="0"/>
    <x v="0"/>
    <x v="3"/>
    <n v="8"/>
    <x v="56"/>
    <n v="98398.497827535306"/>
    <x v="0"/>
    <s v="Duplicate"/>
    <n v="59633.502172464694"/>
    <s v="Sale"/>
  </r>
  <r>
    <x v="93"/>
    <x v="0"/>
    <n v="2026"/>
    <x v="3"/>
    <x v="0"/>
    <x v="0"/>
    <x v="0"/>
    <n v="3"/>
    <x v="313"/>
    <n v="43306.597093313598"/>
    <x v="0"/>
    <s v="Duplicate"/>
    <n v="42001.402906686402"/>
    <s v="Sale"/>
  </r>
  <r>
    <x v="18"/>
    <x v="5"/>
    <n v="2026"/>
    <x v="5"/>
    <x v="1"/>
    <x v="1"/>
    <x v="2"/>
    <n v="8"/>
    <x v="92"/>
    <n v="117723.29992843101"/>
    <x v="0"/>
    <s v="Duplicate"/>
    <n v="22060.700071568994"/>
    <s v="Sale"/>
  </r>
  <r>
    <x v="79"/>
    <x v="1"/>
    <n v="2026"/>
    <x v="2"/>
    <x v="0"/>
    <x v="3"/>
    <x v="1"/>
    <n v="9"/>
    <x v="298"/>
    <n v="143029.00593014099"/>
    <x v="0"/>
    <s v="Duplicate"/>
    <n v="81259.994069859007"/>
    <s v="Sale"/>
  </r>
  <r>
    <x v="198"/>
    <x v="2"/>
    <n v="2026"/>
    <x v="5"/>
    <x v="1"/>
    <x v="0"/>
    <x v="1"/>
    <n v="9"/>
    <x v="921"/>
    <n v="81501.698307557293"/>
    <x v="0"/>
    <s v="Duplicate"/>
    <n v="17813.301692442707"/>
    <s v="Sale"/>
  </r>
  <r>
    <x v="92"/>
    <x v="0"/>
    <n v="2026"/>
    <x v="3"/>
    <x v="0"/>
    <x v="1"/>
    <x v="3"/>
    <n v="7"/>
    <x v="20"/>
    <n v="105423.92645346301"/>
    <x v="1"/>
    <s v="Unique"/>
    <n v="-105423.92645346301"/>
    <s v="Sale"/>
  </r>
  <r>
    <x v="147"/>
    <x v="6"/>
    <n v="2026"/>
    <x v="1"/>
    <x v="0"/>
    <x v="2"/>
    <x v="0"/>
    <n v="3"/>
    <x v="265"/>
    <n v="37286.306943818701"/>
    <x v="0"/>
    <s v="Duplicate"/>
    <n v="7665.6930561812987"/>
    <s v="Sale"/>
  </r>
  <r>
    <x v="76"/>
    <x v="1"/>
    <n v="2026"/>
    <x v="3"/>
    <x v="0"/>
    <x v="2"/>
    <x v="1"/>
    <n v="9"/>
    <x v="20"/>
    <n v="26075.735897320501"/>
    <x v="1"/>
    <s v="Unique"/>
    <n v="-26075.735897320501"/>
    <s v="Sale"/>
  </r>
  <r>
    <x v="20"/>
    <x v="1"/>
    <n v="2026"/>
    <x v="2"/>
    <x v="0"/>
    <x v="3"/>
    <x v="0"/>
    <n v="9"/>
    <x v="572"/>
    <n v="159123.77396672301"/>
    <x v="0"/>
    <s v="Duplicate"/>
    <n v="99095.226033276995"/>
    <s v="Sale"/>
  </r>
  <r>
    <x v="110"/>
    <x v="4"/>
    <n v="2026"/>
    <x v="4"/>
    <x v="1"/>
    <x v="1"/>
    <x v="1"/>
    <n v="6"/>
    <x v="418"/>
    <n v="110437.259385044"/>
    <x v="0"/>
    <s v="Duplicate"/>
    <n v="28834.740614955997"/>
    <s v="Sale"/>
  </r>
  <r>
    <x v="204"/>
    <x v="7"/>
    <n v="2026"/>
    <x v="5"/>
    <x v="1"/>
    <x v="2"/>
    <x v="3"/>
    <n v="4"/>
    <x v="795"/>
    <n v="151296.945316634"/>
    <x v="0"/>
    <s v="Duplicate"/>
    <n v="31375.054683366005"/>
    <s v="S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78FB2-C36E-834B-91C6-19B307F6D380}" name="PivotTable2" cacheId="376"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21">
  <location ref="A85:B93" firstHeaderRow="1" firstDataRow="1" firstDataCol="1" rowPageCount="1" colPageCount="1"/>
  <pivotFields count="16">
    <pivotField compact="0" numFmtId="14" outline="0" showAll="0" sortType="ascending">
      <items count="208">
        <item x="99"/>
        <item x="169"/>
        <item x="24"/>
        <item x="119"/>
        <item x="86"/>
        <item x="162"/>
        <item x="129"/>
        <item x="196"/>
        <item x="176"/>
        <item x="144"/>
        <item x="90"/>
        <item x="125"/>
        <item x="163"/>
        <item x="17"/>
        <item x="7"/>
        <item x="115"/>
        <item x="103"/>
        <item x="22"/>
        <item x="188"/>
        <item x="193"/>
        <item x="141"/>
        <item x="189"/>
        <item x="161"/>
        <item x="106"/>
        <item x="166"/>
        <item x="56"/>
        <item x="147"/>
        <item x="40"/>
        <item x="114"/>
        <item x="81"/>
        <item x="120"/>
        <item x="35"/>
        <item x="200"/>
        <item x="19"/>
        <item x="26"/>
        <item x="130"/>
        <item x="78"/>
        <item x="29"/>
        <item x="89"/>
        <item x="52"/>
        <item x="109"/>
        <item x="28"/>
        <item x="191"/>
        <item x="87"/>
        <item x="148"/>
        <item x="181"/>
        <item x="47"/>
        <item x="102"/>
        <item x="167"/>
        <item x="133"/>
        <item x="152"/>
        <item x="173"/>
        <item x="198"/>
        <item x="61"/>
        <item x="98"/>
        <item x="2"/>
        <item x="105"/>
        <item x="68"/>
        <item x="5"/>
        <item x="38"/>
        <item x="66"/>
        <item x="53"/>
        <item x="134"/>
        <item x="58"/>
        <item x="118"/>
        <item x="23"/>
        <item x="156"/>
        <item x="155"/>
        <item x="205"/>
        <item x="158"/>
        <item x="18"/>
        <item x="96"/>
        <item x="62"/>
        <item x="108"/>
        <item x="74"/>
        <item x="117"/>
        <item x="59"/>
        <item x="12"/>
        <item x="64"/>
        <item x="21"/>
        <item x="149"/>
        <item x="37"/>
        <item x="179"/>
        <item x="100"/>
        <item x="43"/>
        <item x="174"/>
        <item x="91"/>
        <item x="51"/>
        <item x="97"/>
        <item x="202"/>
        <item x="69"/>
        <item x="137"/>
        <item x="140"/>
        <item x="25"/>
        <item x="14"/>
        <item x="50"/>
        <item x="177"/>
        <item x="10"/>
        <item x="128"/>
        <item x="194"/>
        <item x="126"/>
        <item x="182"/>
        <item x="46"/>
        <item x="30"/>
        <item x="172"/>
        <item x="73"/>
        <item x="45"/>
        <item x="1"/>
        <item x="138"/>
        <item x="85"/>
        <item x="33"/>
        <item x="94"/>
        <item x="60"/>
        <item x="79"/>
        <item x="168"/>
        <item x="20"/>
        <item x="32"/>
        <item x="76"/>
        <item x="44"/>
        <item x="95"/>
        <item x="42"/>
        <item x="48"/>
        <item x="49"/>
        <item x="54"/>
        <item x="55"/>
        <item x="151"/>
        <item x="8"/>
        <item x="206"/>
        <item x="27"/>
        <item x="131"/>
        <item x="63"/>
        <item x="101"/>
        <item x="121"/>
        <item x="122"/>
        <item x="41"/>
        <item x="136"/>
        <item x="34"/>
        <item x="178"/>
        <item x="116"/>
        <item x="13"/>
        <item x="4"/>
        <item x="75"/>
        <item x="110"/>
        <item x="71"/>
        <item x="84"/>
        <item x="16"/>
        <item x="113"/>
        <item x="146"/>
        <item x="9"/>
        <item x="135"/>
        <item x="150"/>
        <item x="187"/>
        <item x="159"/>
        <item x="145"/>
        <item x="6"/>
        <item x="111"/>
        <item x="170"/>
        <item x="185"/>
        <item x="186"/>
        <item x="88"/>
        <item x="39"/>
        <item x="83"/>
        <item x="0"/>
        <item x="11"/>
        <item x="77"/>
        <item x="67"/>
        <item x="123"/>
        <item x="72"/>
        <item x="92"/>
        <item x="142"/>
        <item x="31"/>
        <item x="132"/>
        <item x="36"/>
        <item x="157"/>
        <item x="93"/>
        <item x="127"/>
        <item x="82"/>
        <item x="57"/>
        <item x="195"/>
        <item x="65"/>
        <item x="80"/>
        <item x="154"/>
        <item x="104"/>
        <item x="107"/>
        <item x="160"/>
        <item x="143"/>
        <item x="3"/>
        <item x="153"/>
        <item x="190"/>
        <item x="192"/>
        <item x="183"/>
        <item x="139"/>
        <item x="112"/>
        <item x="70"/>
        <item x="197"/>
        <item x="203"/>
        <item x="175"/>
        <item x="180"/>
        <item x="201"/>
        <item x="199"/>
        <item x="204"/>
        <item x="15"/>
        <item x="164"/>
        <item x="165"/>
        <item x="184"/>
        <item x="124"/>
        <item x="171"/>
        <item t="default"/>
      </items>
    </pivotField>
    <pivotField compact="0" outline="0" showAll="0">
      <items count="13">
        <item x="6"/>
        <item x="2"/>
        <item x="5"/>
        <item x="1"/>
        <item x="4"/>
        <item x="0"/>
        <item x="9"/>
        <item x="3"/>
        <item x="10"/>
        <item x="8"/>
        <item x="7"/>
        <item x="11"/>
        <item t="default"/>
      </items>
    </pivotField>
    <pivotField compact="0" outline="0" showAll="0"/>
    <pivotField axis="axisRow" compact="0" outline="0" showAll="0" sortType="descending">
      <items count="8">
        <item x="4"/>
        <item x="0"/>
        <item x="1"/>
        <item x="3"/>
        <item x="2"/>
        <item x="6"/>
        <item x="5"/>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compact="0" outline="0" showAll="0">
      <items count="5">
        <item h="1" x="0"/>
        <item h="1" x="2"/>
        <item x="1"/>
        <item h="1" x="3"/>
        <item t="default"/>
      </items>
    </pivotField>
    <pivotField compact="0" outline="0" showAll="0"/>
    <pivotField compact="0" outline="0" showAll="0"/>
    <pivotField dataField="1" compact="0" outline="0" showAll="0">
      <items count="945">
        <item x="400"/>
        <item x="736"/>
        <item x="327"/>
        <item x="915"/>
        <item x="937"/>
        <item x="863"/>
        <item x="280"/>
        <item x="927"/>
        <item x="405"/>
        <item x="556"/>
        <item x="139"/>
        <item x="427"/>
        <item x="675"/>
        <item x="557"/>
        <item x="679"/>
        <item x="130"/>
        <item x="513"/>
        <item x="673"/>
        <item x="939"/>
        <item x="804"/>
        <item x="758"/>
        <item x="15"/>
        <item x="394"/>
        <item x="221"/>
        <item x="746"/>
        <item x="677"/>
        <item x="512"/>
        <item x="723"/>
        <item x="925"/>
        <item x="90"/>
        <item x="443"/>
        <item x="237"/>
        <item x="606"/>
        <item x="441"/>
        <item x="621"/>
        <item x="494"/>
        <item x="719"/>
        <item x="195"/>
        <item x="879"/>
        <item x="251"/>
        <item x="55"/>
        <item x="891"/>
        <item x="514"/>
        <item x="860"/>
        <item x="936"/>
        <item x="9"/>
        <item x="172"/>
        <item x="145"/>
        <item x="19"/>
        <item x="151"/>
        <item x="74"/>
        <item x="527"/>
        <item x="450"/>
        <item x="906"/>
        <item x="275"/>
        <item x="481"/>
        <item x="268"/>
        <item x="499"/>
        <item x="406"/>
        <item x="932"/>
        <item x="743"/>
        <item x="522"/>
        <item x="565"/>
        <item x="70"/>
        <item x="105"/>
        <item x="455"/>
        <item x="542"/>
        <item x="206"/>
        <item x="789"/>
        <item x="857"/>
        <item x="190"/>
        <item x="458"/>
        <item x="899"/>
        <item x="282"/>
        <item x="300"/>
        <item x="17"/>
        <item x="934"/>
        <item x="833"/>
        <item x="682"/>
        <item x="201"/>
        <item x="242"/>
        <item x="478"/>
        <item x="924"/>
        <item x="859"/>
        <item x="776"/>
        <item x="360"/>
        <item x="717"/>
        <item x="183"/>
        <item x="253"/>
        <item x="40"/>
        <item x="202"/>
        <item x="38"/>
        <item x="12"/>
        <item x="438"/>
        <item x="123"/>
        <item x="564"/>
        <item x="409"/>
        <item x="520"/>
        <item x="65"/>
        <item x="676"/>
        <item x="510"/>
        <item x="618"/>
        <item x="78"/>
        <item x="452"/>
        <item x="876"/>
        <item x="608"/>
        <item x="686"/>
        <item x="796"/>
        <item x="666"/>
        <item x="428"/>
        <item x="291"/>
        <item x="26"/>
        <item x="584"/>
        <item x="928"/>
        <item x="567"/>
        <item x="411"/>
        <item x="636"/>
        <item x="410"/>
        <item x="165"/>
        <item x="566"/>
        <item x="643"/>
        <item x="3"/>
        <item x="173"/>
        <item x="367"/>
        <item x="544"/>
        <item x="63"/>
        <item x="133"/>
        <item x="31"/>
        <item x="864"/>
        <item x="285"/>
        <item x="245"/>
        <item x="886"/>
        <item x="440"/>
        <item x="781"/>
        <item x="96"/>
        <item x="432"/>
        <item x="131"/>
        <item x="430"/>
        <item x="264"/>
        <item x="548"/>
        <item x="854"/>
        <item x="460"/>
        <item x="751"/>
        <item x="343"/>
        <item x="249"/>
        <item x="153"/>
        <item x="668"/>
        <item x="468"/>
        <item x="7"/>
        <item x="69"/>
        <item x="749"/>
        <item x="434"/>
        <item x="787"/>
        <item x="569"/>
        <item x="429"/>
        <item x="414"/>
        <item x="435"/>
        <item x="657"/>
        <item x="819"/>
        <item x="85"/>
        <item x="538"/>
        <item x="904"/>
        <item x="550"/>
        <item x="704"/>
        <item x="877"/>
        <item x="825"/>
        <item x="642"/>
        <item x="887"/>
        <item x="768"/>
        <item x="725"/>
        <item x="919"/>
        <item x="731"/>
        <item x="338"/>
        <item x="908"/>
        <item x="635"/>
        <item x="197"/>
        <item x="286"/>
        <item x="389"/>
        <item x="170"/>
        <item x="318"/>
        <item x="463"/>
        <item x="534"/>
        <item x="835"/>
        <item x="137"/>
        <item x="34"/>
        <item x="883"/>
        <item x="80"/>
        <item x="422"/>
        <item x="721"/>
        <item x="59"/>
        <item x="479"/>
        <item x="940"/>
        <item x="848"/>
        <item x="581"/>
        <item x="820"/>
        <item x="159"/>
        <item x="108"/>
        <item x="942"/>
        <item x="125"/>
        <item x="830"/>
        <item x="665"/>
        <item x="729"/>
        <item x="844"/>
        <item x="597"/>
        <item x="810"/>
        <item x="311"/>
        <item x="124"/>
        <item x="464"/>
        <item x="738"/>
        <item x="219"/>
        <item x="647"/>
        <item x="515"/>
        <item x="681"/>
        <item x="109"/>
        <item x="784"/>
        <item x="689"/>
        <item x="620"/>
        <item x="134"/>
        <item x="193"/>
        <item x="0"/>
        <item x="744"/>
        <item x="265"/>
        <item x="500"/>
        <item x="33"/>
        <item x="200"/>
        <item x="49"/>
        <item x="596"/>
        <item x="403"/>
        <item x="732"/>
        <item x="595"/>
        <item x="23"/>
        <item x="36"/>
        <item x="433"/>
        <item x="107"/>
        <item x="695"/>
        <item x="263"/>
        <item x="10"/>
        <item x="764"/>
        <item x="491"/>
        <item x="339"/>
        <item x="805"/>
        <item x="884"/>
        <item x="631"/>
        <item x="730"/>
        <item x="276"/>
        <item x="58"/>
        <item x="352"/>
        <item x="87"/>
        <item x="407"/>
        <item x="101"/>
        <item x="728"/>
        <item x="247"/>
        <item x="13"/>
        <item x="363"/>
        <item x="754"/>
        <item x="733"/>
        <item x="910"/>
        <item x="475"/>
        <item x="815"/>
        <item x="801"/>
        <item x="32"/>
        <item x="149"/>
        <item x="516"/>
        <item x="120"/>
        <item x="8"/>
        <item x="60"/>
        <item x="18"/>
        <item x="166"/>
        <item x="713"/>
        <item x="421"/>
        <item x="509"/>
        <item x="671"/>
        <item x="573"/>
        <item x="615"/>
        <item x="374"/>
        <item x="563"/>
        <item x="345"/>
        <item x="497"/>
        <item x="737"/>
        <item x="852"/>
        <item x="832"/>
        <item x="368"/>
        <item x="116"/>
        <item x="838"/>
        <item x="502"/>
        <item x="102"/>
        <item x="896"/>
        <item x="559"/>
        <item x="322"/>
        <item x="646"/>
        <item x="62"/>
        <item x="694"/>
        <item x="814"/>
        <item x="293"/>
        <item x="722"/>
        <item x="890"/>
        <item x="808"/>
        <item x="296"/>
        <item x="633"/>
        <item x="897"/>
        <item x="230"/>
        <item x="753"/>
        <item x="349"/>
        <item x="917"/>
        <item x="141"/>
        <item x="823"/>
        <item x="699"/>
        <item x="112"/>
        <item x="923"/>
        <item x="639"/>
        <item x="454"/>
        <item x="834"/>
        <item x="88"/>
        <item x="841"/>
        <item x="68"/>
        <item x="826"/>
        <item x="734"/>
        <item x="498"/>
        <item x="246"/>
        <item x="867"/>
        <item x="568"/>
        <item x="294"/>
        <item x="674"/>
        <item x="483"/>
        <item x="654"/>
        <item x="629"/>
        <item x="224"/>
        <item x="802"/>
        <item x="614"/>
        <item x="779"/>
        <item x="98"/>
        <item x="167"/>
        <item x="922"/>
        <item x="792"/>
        <item x="916"/>
        <item x="720"/>
        <item x="774"/>
        <item x="315"/>
        <item x="709"/>
        <item x="650"/>
        <item x="551"/>
        <item x="385"/>
        <item x="16"/>
        <item x="889"/>
        <item x="132"/>
        <item x="839"/>
        <item x="399"/>
        <item x="175"/>
        <item x="793"/>
        <item x="598"/>
        <item x="222"/>
        <item x="218"/>
        <item x="437"/>
        <item x="188"/>
        <item x="616"/>
        <item x="913"/>
        <item x="323"/>
        <item x="488"/>
        <item x="579"/>
        <item x="873"/>
        <item x="878"/>
        <item x="359"/>
        <item x="142"/>
        <item x="64"/>
        <item x="664"/>
        <item x="837"/>
        <item x="388"/>
        <item x="72"/>
        <item x="828"/>
        <item x="212"/>
        <item x="583"/>
        <item x="599"/>
        <item x="507"/>
        <item x="71"/>
        <item x="827"/>
        <item x="121"/>
        <item x="416"/>
        <item x="626"/>
        <item x="301"/>
        <item x="760"/>
        <item x="638"/>
        <item x="727"/>
        <item x="941"/>
        <item x="822"/>
        <item x="306"/>
        <item x="168"/>
        <item x="604"/>
        <item x="380"/>
        <item x="853"/>
        <item x="445"/>
        <item x="401"/>
        <item x="790"/>
        <item x="211"/>
        <item x="313"/>
        <item x="21"/>
        <item x="292"/>
        <item x="524"/>
        <item x="451"/>
        <item x="845"/>
        <item x="766"/>
        <item x="902"/>
        <item x="161"/>
        <item x="444"/>
        <item x="554"/>
        <item x="375"/>
        <item x="91"/>
        <item x="866"/>
        <item x="536"/>
        <item x="656"/>
        <item x="691"/>
        <item x="741"/>
        <item x="420"/>
        <item x="645"/>
        <item x="209"/>
        <item x="93"/>
        <item x="256"/>
        <item x="357"/>
        <item x="208"/>
        <item x="348"/>
        <item x="540"/>
        <item x="395"/>
        <item x="469"/>
        <item x="590"/>
        <item x="180"/>
        <item x="661"/>
        <item x="143"/>
        <item x="29"/>
        <item x="800"/>
        <item x="391"/>
        <item x="874"/>
        <item x="419"/>
        <item x="179"/>
        <item x="504"/>
        <item x="484"/>
        <item x="561"/>
        <item x="48"/>
        <item x="921"/>
        <item x="387"/>
        <item x="756"/>
        <item x="710"/>
        <item x="817"/>
        <item x="332"/>
        <item x="424"/>
        <item x="225"/>
        <item x="456"/>
        <item x="771"/>
        <item x="794"/>
        <item x="659"/>
        <item x="653"/>
        <item x="73"/>
        <item x="782"/>
        <item x="152"/>
        <item x="591"/>
        <item x="415"/>
        <item x="129"/>
        <item x="312"/>
        <item x="485"/>
        <item x="602"/>
        <item x="198"/>
        <item x="518"/>
        <item x="176"/>
        <item x="289"/>
        <item x="177"/>
        <item x="303"/>
        <item x="658"/>
        <item x="241"/>
        <item x="824"/>
        <item x="898"/>
        <item x="412"/>
        <item x="698"/>
        <item x="696"/>
        <item x="254"/>
        <item x="829"/>
        <item x="627"/>
        <item x="767"/>
        <item x="580"/>
        <item x="705"/>
        <item x="22"/>
        <item x="231"/>
        <item x="888"/>
        <item x="778"/>
        <item x="187"/>
        <item x="570"/>
        <item x="236"/>
        <item x="535"/>
        <item x="396"/>
        <item x="701"/>
        <item x="871"/>
        <item x="220"/>
        <item x="529"/>
        <item x="555"/>
        <item x="284"/>
        <item x="517"/>
        <item x="893"/>
        <item x="163"/>
        <item x="362"/>
        <item x="465"/>
        <item x="708"/>
        <item x="207"/>
        <item x="861"/>
        <item x="480"/>
        <item x="605"/>
        <item x="204"/>
        <item x="326"/>
        <item x="402"/>
        <item x="628"/>
        <item x="798"/>
        <item x="240"/>
        <item x="290"/>
        <item x="836"/>
        <item x="900"/>
        <item x="448"/>
        <item x="114"/>
        <item x="644"/>
        <item x="378"/>
        <item x="369"/>
        <item x="501"/>
        <item x="182"/>
        <item x="471"/>
        <item x="816"/>
        <item x="930"/>
        <item x="693"/>
        <item x="610"/>
        <item x="523"/>
        <item x="678"/>
        <item x="288"/>
        <item x="238"/>
        <item x="716"/>
        <item x="482"/>
        <item x="277"/>
        <item x="127"/>
        <item x="703"/>
        <item x="39"/>
        <item x="205"/>
        <item x="100"/>
        <item x="321"/>
        <item x="812"/>
        <item x="279"/>
        <item x="849"/>
        <item x="6"/>
        <item x="24"/>
        <item x="911"/>
        <item x="136"/>
        <item x="382"/>
        <item x="870"/>
        <item x="308"/>
        <item x="418"/>
        <item x="714"/>
        <item x="92"/>
        <item x="920"/>
        <item x="94"/>
        <item x="769"/>
        <item x="25"/>
        <item x="28"/>
        <item x="346"/>
        <item x="393"/>
        <item x="255"/>
        <item x="103"/>
        <item x="383"/>
        <item x="943"/>
        <item x="233"/>
        <item x="250"/>
        <item x="745"/>
        <item x="259"/>
        <item x="35"/>
        <item x="747"/>
        <item x="547"/>
        <item x="762"/>
        <item x="648"/>
        <item x="384"/>
        <item x="506"/>
        <item x="307"/>
        <item x="858"/>
        <item x="865"/>
        <item x="331"/>
        <item x="181"/>
        <item x="184"/>
        <item x="244"/>
        <item x="851"/>
        <item x="842"/>
        <item x="855"/>
        <item x="436"/>
        <item x="763"/>
        <item x="5"/>
        <item x="582"/>
        <item x="191"/>
        <item x="449"/>
        <item x="138"/>
        <item x="589"/>
        <item x="684"/>
        <item x="148"/>
        <item x="56"/>
        <item x="446"/>
        <item x="335"/>
        <item x="261"/>
        <item x="390"/>
        <item x="617"/>
        <item x="310"/>
        <item x="473"/>
        <item x="178"/>
        <item x="765"/>
        <item x="603"/>
        <item x="521"/>
        <item x="57"/>
        <item x="912"/>
        <item x="662"/>
        <item x="632"/>
        <item x="457"/>
        <item x="257"/>
        <item x="613"/>
        <item x="799"/>
        <item x="174"/>
        <item x="41"/>
        <item x="508"/>
        <item x="549"/>
        <item x="248"/>
        <item x="274"/>
        <item x="217"/>
        <item x="95"/>
        <item x="791"/>
        <item x="216"/>
        <item x="84"/>
        <item x="872"/>
        <item x="317"/>
        <item x="511"/>
        <item x="788"/>
        <item x="150"/>
        <item x="97"/>
        <item x="2"/>
        <item x="575"/>
        <item x="807"/>
        <item x="304"/>
        <item x="909"/>
        <item x="262"/>
        <item x="607"/>
        <item x="392"/>
        <item x="625"/>
        <item x="821"/>
        <item x="370"/>
        <item x="11"/>
        <item x="146"/>
        <item x="281"/>
        <item x="269"/>
        <item x="408"/>
        <item x="316"/>
        <item x="266"/>
        <item x="574"/>
        <item x="739"/>
        <item x="624"/>
        <item x="690"/>
        <item x="417"/>
        <item x="47"/>
        <item x="86"/>
        <item x="423"/>
        <item x="593"/>
        <item x="640"/>
        <item x="505"/>
        <item x="795"/>
        <item x="533"/>
        <item x="560"/>
        <item x="192"/>
        <item x="320"/>
        <item x="670"/>
        <item x="552"/>
        <item x="314"/>
        <item x="299"/>
        <item x="783"/>
        <item x="461"/>
        <item x="234"/>
        <item x="30"/>
        <item x="214"/>
        <item x="347"/>
        <item x="46"/>
        <item x="856"/>
        <item x="226"/>
        <item x="330"/>
        <item x="503"/>
        <item x="490"/>
        <item x="199"/>
        <item x="818"/>
        <item x="210"/>
        <item x="785"/>
        <item x="453"/>
        <item x="351"/>
        <item x="54"/>
        <item x="571"/>
        <item x="4"/>
        <item x="119"/>
        <item x="232"/>
        <item x="169"/>
        <item x="270"/>
        <item x="755"/>
        <item x="652"/>
        <item x="806"/>
        <item x="586"/>
        <item x="76"/>
        <item x="157"/>
        <item x="892"/>
        <item x="831"/>
        <item x="588"/>
        <item x="797"/>
        <item x="67"/>
        <item x="164"/>
        <item x="933"/>
        <item x="126"/>
        <item x="398"/>
        <item x="27"/>
        <item x="128"/>
        <item x="546"/>
        <item x="158"/>
        <item x="196"/>
        <item x="740"/>
        <item x="356"/>
        <item x="914"/>
        <item x="712"/>
        <item x="324"/>
        <item x="585"/>
        <item x="462"/>
        <item x="553"/>
        <item x="135"/>
        <item x="578"/>
        <item x="537"/>
        <item x="106"/>
        <item x="660"/>
        <item x="880"/>
        <item x="901"/>
        <item x="525"/>
        <item x="298"/>
        <item x="287"/>
        <item x="775"/>
        <item x="577"/>
        <item x="426"/>
        <item x="81"/>
        <item x="278"/>
        <item x="341"/>
        <item x="492"/>
        <item x="472"/>
        <item x="156"/>
        <item x="562"/>
        <item x="600"/>
        <item x="929"/>
        <item x="528"/>
        <item x="227"/>
        <item x="50"/>
        <item x="622"/>
        <item x="894"/>
        <item x="850"/>
        <item x="273"/>
        <item x="531"/>
        <item x="715"/>
        <item x="213"/>
        <item x="77"/>
        <item x="51"/>
        <item x="83"/>
        <item x="692"/>
        <item x="935"/>
        <item x="140"/>
        <item x="235"/>
        <item x="697"/>
        <item x="683"/>
        <item x="459"/>
        <item x="487"/>
        <item x="875"/>
        <item x="155"/>
        <item x="742"/>
        <item x="651"/>
        <item x="381"/>
        <item x="344"/>
        <item x="637"/>
        <item x="442"/>
        <item x="340"/>
        <item x="154"/>
        <item x="724"/>
        <item x="358"/>
        <item x="847"/>
        <item x="532"/>
        <item x="619"/>
        <item x="655"/>
        <item x="630"/>
        <item x="194"/>
        <item x="572"/>
        <item x="809"/>
        <item x="672"/>
        <item x="726"/>
        <item x="439"/>
        <item x="780"/>
        <item x="493"/>
        <item x="144"/>
        <item x="649"/>
        <item x="718"/>
        <item x="376"/>
        <item x="186"/>
        <item x="160"/>
        <item x="611"/>
        <item x="42"/>
        <item x="431"/>
        <item x="592"/>
        <item x="373"/>
        <item x="467"/>
        <item x="272"/>
        <item x="757"/>
        <item x="526"/>
        <item x="319"/>
        <item x="938"/>
        <item x="903"/>
        <item x="361"/>
        <item x="759"/>
        <item x="748"/>
        <item x="773"/>
        <item x="333"/>
        <item x="881"/>
        <item x="223"/>
        <item x="609"/>
        <item x="685"/>
        <item x="669"/>
        <item x="295"/>
        <item x="702"/>
        <item x="486"/>
        <item x="601"/>
        <item x="869"/>
        <item x="476"/>
        <item x="474"/>
        <item x="162"/>
        <item x="61"/>
        <item x="846"/>
        <item x="271"/>
        <item x="777"/>
        <item x="623"/>
        <item x="687"/>
        <item x="495"/>
        <item x="79"/>
        <item x="239"/>
        <item x="229"/>
        <item x="52"/>
        <item x="267"/>
        <item x="297"/>
        <item x="379"/>
        <item x="882"/>
        <item x="680"/>
        <item x="612"/>
        <item x="122"/>
        <item x="354"/>
        <item x="558"/>
        <item x="228"/>
        <item x="252"/>
        <item x="735"/>
        <item x="811"/>
        <item x="371"/>
        <item x="334"/>
        <item x="353"/>
        <item x="404"/>
        <item x="309"/>
        <item x="203"/>
        <item x="413"/>
        <item x="519"/>
        <item x="82"/>
        <item x="118"/>
        <item x="44"/>
        <item x="365"/>
        <item x="926"/>
        <item x="37"/>
        <item x="66"/>
        <item x="931"/>
        <item x="75"/>
        <item x="111"/>
        <item x="750"/>
        <item x="711"/>
        <item x="477"/>
        <item x="813"/>
        <item x="43"/>
        <item x="377"/>
        <item x="258"/>
        <item x="862"/>
        <item x="905"/>
        <item x="117"/>
        <item x="355"/>
        <item x="489"/>
        <item x="885"/>
        <item x="752"/>
        <item x="372"/>
        <item x="772"/>
        <item x="707"/>
        <item x="594"/>
        <item x="99"/>
        <item x="587"/>
        <item x="215"/>
        <item x="243"/>
        <item x="1"/>
        <item x="386"/>
        <item x="342"/>
        <item x="641"/>
        <item x="663"/>
        <item x="325"/>
        <item x="329"/>
        <item x="425"/>
        <item x="918"/>
        <item x="104"/>
        <item x="89"/>
        <item x="543"/>
        <item x="45"/>
        <item x="336"/>
        <item x="700"/>
        <item x="113"/>
        <item x="350"/>
        <item x="260"/>
        <item x="530"/>
        <item x="305"/>
        <item x="770"/>
        <item x="496"/>
        <item x="667"/>
        <item x="634"/>
        <item x="110"/>
        <item x="868"/>
        <item x="189"/>
        <item x="541"/>
        <item x="302"/>
        <item x="53"/>
        <item x="447"/>
        <item x="786"/>
        <item x="283"/>
        <item x="470"/>
        <item x="761"/>
        <item x="337"/>
        <item x="840"/>
        <item x="539"/>
        <item x="803"/>
        <item x="328"/>
        <item x="171"/>
        <item x="115"/>
        <item x="397"/>
        <item x="364"/>
        <item x="14"/>
        <item x="706"/>
        <item x="545"/>
        <item x="185"/>
        <item x="907"/>
        <item x="576"/>
        <item x="843"/>
        <item x="895"/>
        <item x="466"/>
        <item x="688"/>
        <item x="366"/>
        <item x="147"/>
        <item x="20"/>
        <item t="default"/>
      </items>
    </pivotField>
    <pivotField compact="0" outline="0" showAll="0"/>
    <pivotField axis="axisPage" compact="0" outline="0" multipleItemSelectionAllowed="1" showAll="0">
      <items count="4">
        <item h="1" x="1"/>
        <item h="1" x="2"/>
        <item x="0"/>
        <item t="default"/>
      </items>
    </pivotField>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8">
    <i>
      <x v="1"/>
    </i>
    <i>
      <x/>
    </i>
    <i>
      <x v="2"/>
    </i>
    <i>
      <x v="3"/>
    </i>
    <i>
      <x v="5"/>
    </i>
    <i>
      <x v="6"/>
    </i>
    <i>
      <x v="4"/>
    </i>
    <i t="grand">
      <x/>
    </i>
  </rowItems>
  <colItems count="1">
    <i/>
  </colItems>
  <pageFields count="1">
    <pageField fld="10" hier="-1"/>
  </pageFields>
  <dataFields count="1">
    <dataField name="Sum of Revenue" fld="8" baseField="8" baseItem="0"/>
  </dataFields>
  <chartFormats count="1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4"/>
          </reference>
        </references>
      </pivotArea>
    </chartFormat>
    <chartFormat chart="12" format="6" series="1">
      <pivotArea type="data" outline="0" fieldPosition="0">
        <references count="2">
          <reference field="4294967294" count="1" selected="0">
            <x v="0"/>
          </reference>
          <reference field="3" count="1" selected="0">
            <x v="5"/>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B4B0E-1894-D449-873F-A709E4EB4D59}" name="Category Pivot" cacheId="376"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2">
  <location ref="A71:B74" firstHeaderRow="1" firstDataRow="1" firstDataCol="1" rowPageCount="1" colPageCount="1"/>
  <pivotFields count="16">
    <pivotField compact="0" numFmtId="14" outline="0" showAll="0" sortType="ascending">
      <items count="208">
        <item x="99"/>
        <item x="169"/>
        <item x="24"/>
        <item x="119"/>
        <item x="86"/>
        <item x="162"/>
        <item x="129"/>
        <item x="196"/>
        <item x="176"/>
        <item x="144"/>
        <item x="90"/>
        <item x="125"/>
        <item x="163"/>
        <item x="17"/>
        <item x="7"/>
        <item x="115"/>
        <item x="103"/>
        <item x="22"/>
        <item x="188"/>
        <item x="193"/>
        <item x="141"/>
        <item x="189"/>
        <item x="161"/>
        <item x="106"/>
        <item x="166"/>
        <item x="56"/>
        <item x="147"/>
        <item x="40"/>
        <item x="114"/>
        <item x="81"/>
        <item x="120"/>
        <item x="35"/>
        <item x="200"/>
        <item x="19"/>
        <item x="26"/>
        <item x="130"/>
        <item x="78"/>
        <item x="29"/>
        <item x="89"/>
        <item x="52"/>
        <item x="109"/>
        <item x="28"/>
        <item x="191"/>
        <item x="87"/>
        <item x="148"/>
        <item x="181"/>
        <item x="47"/>
        <item x="102"/>
        <item x="167"/>
        <item x="133"/>
        <item x="152"/>
        <item x="173"/>
        <item x="198"/>
        <item x="61"/>
        <item x="98"/>
        <item x="2"/>
        <item x="105"/>
        <item x="68"/>
        <item x="5"/>
        <item x="38"/>
        <item x="66"/>
        <item x="53"/>
        <item x="134"/>
        <item x="58"/>
        <item x="118"/>
        <item x="23"/>
        <item x="156"/>
        <item x="155"/>
        <item x="205"/>
        <item x="158"/>
        <item x="18"/>
        <item x="96"/>
        <item x="62"/>
        <item x="108"/>
        <item x="74"/>
        <item x="117"/>
        <item x="59"/>
        <item x="12"/>
        <item x="64"/>
        <item x="21"/>
        <item x="149"/>
        <item x="37"/>
        <item x="179"/>
        <item x="100"/>
        <item x="43"/>
        <item x="174"/>
        <item x="91"/>
        <item x="51"/>
        <item x="97"/>
        <item x="202"/>
        <item x="69"/>
        <item x="137"/>
        <item x="140"/>
        <item x="25"/>
        <item x="14"/>
        <item x="50"/>
        <item x="177"/>
        <item x="10"/>
        <item x="128"/>
        <item x="194"/>
        <item x="126"/>
        <item x="182"/>
        <item x="46"/>
        <item x="30"/>
        <item x="172"/>
        <item x="73"/>
        <item x="45"/>
        <item x="1"/>
        <item x="138"/>
        <item x="85"/>
        <item x="33"/>
        <item x="94"/>
        <item x="60"/>
        <item x="79"/>
        <item x="168"/>
        <item x="20"/>
        <item x="32"/>
        <item x="76"/>
        <item x="44"/>
        <item x="95"/>
        <item x="42"/>
        <item x="48"/>
        <item x="49"/>
        <item x="54"/>
        <item x="55"/>
        <item x="151"/>
        <item x="8"/>
        <item x="206"/>
        <item x="27"/>
        <item x="131"/>
        <item x="63"/>
        <item x="101"/>
        <item x="121"/>
        <item x="122"/>
        <item x="41"/>
        <item x="136"/>
        <item x="34"/>
        <item x="178"/>
        <item x="116"/>
        <item x="13"/>
        <item x="4"/>
        <item x="75"/>
        <item x="110"/>
        <item x="71"/>
        <item x="84"/>
        <item x="16"/>
        <item x="113"/>
        <item x="146"/>
        <item x="9"/>
        <item x="135"/>
        <item x="150"/>
        <item x="187"/>
        <item x="159"/>
        <item x="145"/>
        <item x="6"/>
        <item x="111"/>
        <item x="170"/>
        <item x="185"/>
        <item x="186"/>
        <item x="88"/>
        <item x="39"/>
        <item x="83"/>
        <item x="0"/>
        <item x="11"/>
        <item x="77"/>
        <item x="67"/>
        <item x="123"/>
        <item x="72"/>
        <item x="92"/>
        <item x="142"/>
        <item x="31"/>
        <item x="132"/>
        <item x="36"/>
        <item x="157"/>
        <item x="93"/>
        <item x="127"/>
        <item x="82"/>
        <item x="57"/>
        <item x="195"/>
        <item x="65"/>
        <item x="80"/>
        <item x="154"/>
        <item x="104"/>
        <item x="107"/>
        <item x="160"/>
        <item x="143"/>
        <item x="3"/>
        <item x="153"/>
        <item x="190"/>
        <item x="192"/>
        <item x="183"/>
        <item x="139"/>
        <item x="112"/>
        <item x="70"/>
        <item x="197"/>
        <item x="203"/>
        <item x="175"/>
        <item x="180"/>
        <item x="201"/>
        <item x="199"/>
        <item x="204"/>
        <item x="15"/>
        <item x="164"/>
        <item x="165"/>
        <item x="184"/>
        <item x="124"/>
        <item x="171"/>
        <item t="default"/>
      </items>
    </pivotField>
    <pivotField compact="0" outline="0" showAll="0">
      <items count="13">
        <item x="6"/>
        <item x="2"/>
        <item x="5"/>
        <item x="1"/>
        <item x="4"/>
        <item x="0"/>
        <item x="9"/>
        <item x="3"/>
        <item x="10"/>
        <item x="8"/>
        <item x="7"/>
        <item x="11"/>
        <item t="default"/>
      </items>
    </pivotField>
    <pivotField compact="0" outline="0" showAll="0"/>
    <pivotField compact="0" outline="0" showAll="0"/>
    <pivotField axis="axisRow" compact="0" outline="0" showAll="0">
      <items count="3">
        <item x="0"/>
        <item x="1"/>
        <item t="default"/>
      </items>
    </pivotField>
    <pivotField compact="0" outline="0" showAll="0">
      <items count="5">
        <item h="1" x="0"/>
        <item h="1" x="2"/>
        <item x="1"/>
        <item h="1" x="3"/>
        <item t="default"/>
      </items>
    </pivotField>
    <pivotField compact="0" outline="0" showAll="0"/>
    <pivotField compact="0" outline="0" showAll="0"/>
    <pivotField dataField="1" compact="0" outline="0" showAll="0">
      <items count="945">
        <item x="400"/>
        <item x="736"/>
        <item x="327"/>
        <item x="915"/>
        <item x="937"/>
        <item x="863"/>
        <item x="280"/>
        <item x="927"/>
        <item x="405"/>
        <item x="556"/>
        <item x="139"/>
        <item x="427"/>
        <item x="675"/>
        <item x="557"/>
        <item x="679"/>
        <item x="130"/>
        <item x="513"/>
        <item x="673"/>
        <item x="939"/>
        <item x="804"/>
        <item x="758"/>
        <item x="15"/>
        <item x="394"/>
        <item x="221"/>
        <item x="746"/>
        <item x="677"/>
        <item x="512"/>
        <item x="723"/>
        <item x="925"/>
        <item x="90"/>
        <item x="443"/>
        <item x="237"/>
        <item x="606"/>
        <item x="441"/>
        <item x="621"/>
        <item x="494"/>
        <item x="719"/>
        <item x="195"/>
        <item x="879"/>
        <item x="251"/>
        <item x="55"/>
        <item x="891"/>
        <item x="514"/>
        <item x="860"/>
        <item x="936"/>
        <item x="9"/>
        <item x="172"/>
        <item x="145"/>
        <item x="19"/>
        <item x="151"/>
        <item x="74"/>
        <item x="527"/>
        <item x="450"/>
        <item x="906"/>
        <item x="275"/>
        <item x="481"/>
        <item x="268"/>
        <item x="499"/>
        <item x="406"/>
        <item x="932"/>
        <item x="743"/>
        <item x="522"/>
        <item x="565"/>
        <item x="70"/>
        <item x="105"/>
        <item x="455"/>
        <item x="542"/>
        <item x="206"/>
        <item x="789"/>
        <item x="857"/>
        <item x="190"/>
        <item x="458"/>
        <item x="899"/>
        <item x="282"/>
        <item x="300"/>
        <item x="17"/>
        <item x="934"/>
        <item x="833"/>
        <item x="682"/>
        <item x="201"/>
        <item x="242"/>
        <item x="478"/>
        <item x="924"/>
        <item x="859"/>
        <item x="776"/>
        <item x="360"/>
        <item x="717"/>
        <item x="183"/>
        <item x="253"/>
        <item x="40"/>
        <item x="202"/>
        <item x="38"/>
        <item x="12"/>
        <item x="438"/>
        <item x="123"/>
        <item x="564"/>
        <item x="409"/>
        <item x="520"/>
        <item x="65"/>
        <item x="676"/>
        <item x="510"/>
        <item x="618"/>
        <item x="78"/>
        <item x="452"/>
        <item x="876"/>
        <item x="608"/>
        <item x="686"/>
        <item x="796"/>
        <item x="666"/>
        <item x="428"/>
        <item x="291"/>
        <item x="26"/>
        <item x="584"/>
        <item x="928"/>
        <item x="567"/>
        <item x="411"/>
        <item x="636"/>
        <item x="410"/>
        <item x="165"/>
        <item x="566"/>
        <item x="643"/>
        <item x="3"/>
        <item x="173"/>
        <item x="367"/>
        <item x="544"/>
        <item x="63"/>
        <item x="133"/>
        <item x="31"/>
        <item x="864"/>
        <item x="285"/>
        <item x="245"/>
        <item x="886"/>
        <item x="440"/>
        <item x="781"/>
        <item x="96"/>
        <item x="432"/>
        <item x="131"/>
        <item x="430"/>
        <item x="264"/>
        <item x="548"/>
        <item x="854"/>
        <item x="460"/>
        <item x="751"/>
        <item x="343"/>
        <item x="249"/>
        <item x="153"/>
        <item x="668"/>
        <item x="468"/>
        <item x="7"/>
        <item x="69"/>
        <item x="749"/>
        <item x="434"/>
        <item x="787"/>
        <item x="569"/>
        <item x="429"/>
        <item x="414"/>
        <item x="435"/>
        <item x="657"/>
        <item x="819"/>
        <item x="85"/>
        <item x="538"/>
        <item x="904"/>
        <item x="550"/>
        <item x="704"/>
        <item x="877"/>
        <item x="825"/>
        <item x="642"/>
        <item x="887"/>
        <item x="768"/>
        <item x="725"/>
        <item x="919"/>
        <item x="731"/>
        <item x="338"/>
        <item x="908"/>
        <item x="635"/>
        <item x="197"/>
        <item x="286"/>
        <item x="389"/>
        <item x="170"/>
        <item x="318"/>
        <item x="463"/>
        <item x="534"/>
        <item x="835"/>
        <item x="137"/>
        <item x="34"/>
        <item x="883"/>
        <item x="80"/>
        <item x="422"/>
        <item x="721"/>
        <item x="59"/>
        <item x="479"/>
        <item x="940"/>
        <item x="848"/>
        <item x="581"/>
        <item x="820"/>
        <item x="159"/>
        <item x="108"/>
        <item x="942"/>
        <item x="125"/>
        <item x="830"/>
        <item x="665"/>
        <item x="729"/>
        <item x="844"/>
        <item x="597"/>
        <item x="810"/>
        <item x="311"/>
        <item x="124"/>
        <item x="464"/>
        <item x="738"/>
        <item x="219"/>
        <item x="647"/>
        <item x="515"/>
        <item x="681"/>
        <item x="109"/>
        <item x="784"/>
        <item x="689"/>
        <item x="620"/>
        <item x="134"/>
        <item x="193"/>
        <item x="0"/>
        <item x="744"/>
        <item x="265"/>
        <item x="500"/>
        <item x="33"/>
        <item x="200"/>
        <item x="49"/>
        <item x="596"/>
        <item x="403"/>
        <item x="732"/>
        <item x="595"/>
        <item x="23"/>
        <item x="36"/>
        <item x="433"/>
        <item x="107"/>
        <item x="695"/>
        <item x="263"/>
        <item x="10"/>
        <item x="764"/>
        <item x="491"/>
        <item x="339"/>
        <item x="805"/>
        <item x="884"/>
        <item x="631"/>
        <item x="730"/>
        <item x="276"/>
        <item x="58"/>
        <item x="352"/>
        <item x="87"/>
        <item x="407"/>
        <item x="101"/>
        <item x="728"/>
        <item x="247"/>
        <item x="13"/>
        <item x="363"/>
        <item x="754"/>
        <item x="733"/>
        <item x="910"/>
        <item x="475"/>
        <item x="815"/>
        <item x="801"/>
        <item x="32"/>
        <item x="149"/>
        <item x="516"/>
        <item x="120"/>
        <item x="8"/>
        <item x="60"/>
        <item x="18"/>
        <item x="166"/>
        <item x="713"/>
        <item x="421"/>
        <item x="509"/>
        <item x="671"/>
        <item x="573"/>
        <item x="615"/>
        <item x="374"/>
        <item x="563"/>
        <item x="345"/>
        <item x="497"/>
        <item x="737"/>
        <item x="852"/>
        <item x="832"/>
        <item x="368"/>
        <item x="116"/>
        <item x="838"/>
        <item x="502"/>
        <item x="102"/>
        <item x="896"/>
        <item x="559"/>
        <item x="322"/>
        <item x="646"/>
        <item x="62"/>
        <item x="694"/>
        <item x="814"/>
        <item x="293"/>
        <item x="722"/>
        <item x="890"/>
        <item x="808"/>
        <item x="296"/>
        <item x="633"/>
        <item x="897"/>
        <item x="230"/>
        <item x="753"/>
        <item x="349"/>
        <item x="917"/>
        <item x="141"/>
        <item x="823"/>
        <item x="699"/>
        <item x="112"/>
        <item x="923"/>
        <item x="639"/>
        <item x="454"/>
        <item x="834"/>
        <item x="88"/>
        <item x="841"/>
        <item x="68"/>
        <item x="826"/>
        <item x="734"/>
        <item x="498"/>
        <item x="246"/>
        <item x="867"/>
        <item x="568"/>
        <item x="294"/>
        <item x="674"/>
        <item x="483"/>
        <item x="654"/>
        <item x="629"/>
        <item x="224"/>
        <item x="802"/>
        <item x="614"/>
        <item x="779"/>
        <item x="98"/>
        <item x="167"/>
        <item x="922"/>
        <item x="792"/>
        <item x="916"/>
        <item x="720"/>
        <item x="774"/>
        <item x="315"/>
        <item x="709"/>
        <item x="650"/>
        <item x="551"/>
        <item x="385"/>
        <item x="16"/>
        <item x="889"/>
        <item x="132"/>
        <item x="839"/>
        <item x="399"/>
        <item x="175"/>
        <item x="793"/>
        <item x="598"/>
        <item x="222"/>
        <item x="218"/>
        <item x="437"/>
        <item x="188"/>
        <item x="616"/>
        <item x="913"/>
        <item x="323"/>
        <item x="488"/>
        <item x="579"/>
        <item x="873"/>
        <item x="878"/>
        <item x="359"/>
        <item x="142"/>
        <item x="64"/>
        <item x="664"/>
        <item x="837"/>
        <item x="388"/>
        <item x="72"/>
        <item x="828"/>
        <item x="212"/>
        <item x="583"/>
        <item x="599"/>
        <item x="507"/>
        <item x="71"/>
        <item x="827"/>
        <item x="121"/>
        <item x="416"/>
        <item x="626"/>
        <item x="301"/>
        <item x="760"/>
        <item x="638"/>
        <item x="727"/>
        <item x="941"/>
        <item x="822"/>
        <item x="306"/>
        <item x="168"/>
        <item x="604"/>
        <item x="380"/>
        <item x="853"/>
        <item x="445"/>
        <item x="401"/>
        <item x="790"/>
        <item x="211"/>
        <item x="313"/>
        <item x="21"/>
        <item x="292"/>
        <item x="524"/>
        <item x="451"/>
        <item x="845"/>
        <item x="766"/>
        <item x="902"/>
        <item x="161"/>
        <item x="444"/>
        <item x="554"/>
        <item x="375"/>
        <item x="91"/>
        <item x="866"/>
        <item x="536"/>
        <item x="656"/>
        <item x="691"/>
        <item x="741"/>
        <item x="420"/>
        <item x="645"/>
        <item x="209"/>
        <item x="93"/>
        <item x="256"/>
        <item x="357"/>
        <item x="208"/>
        <item x="348"/>
        <item x="540"/>
        <item x="395"/>
        <item x="469"/>
        <item x="590"/>
        <item x="180"/>
        <item x="661"/>
        <item x="143"/>
        <item x="29"/>
        <item x="800"/>
        <item x="391"/>
        <item x="874"/>
        <item x="419"/>
        <item x="179"/>
        <item x="504"/>
        <item x="484"/>
        <item x="561"/>
        <item x="48"/>
        <item x="921"/>
        <item x="387"/>
        <item x="756"/>
        <item x="710"/>
        <item x="817"/>
        <item x="332"/>
        <item x="424"/>
        <item x="225"/>
        <item x="456"/>
        <item x="771"/>
        <item x="794"/>
        <item x="659"/>
        <item x="653"/>
        <item x="73"/>
        <item x="782"/>
        <item x="152"/>
        <item x="591"/>
        <item x="415"/>
        <item x="129"/>
        <item x="312"/>
        <item x="485"/>
        <item x="602"/>
        <item x="198"/>
        <item x="518"/>
        <item x="176"/>
        <item x="289"/>
        <item x="177"/>
        <item x="303"/>
        <item x="658"/>
        <item x="241"/>
        <item x="824"/>
        <item x="898"/>
        <item x="412"/>
        <item x="698"/>
        <item x="696"/>
        <item x="254"/>
        <item x="829"/>
        <item x="627"/>
        <item x="767"/>
        <item x="580"/>
        <item x="705"/>
        <item x="22"/>
        <item x="231"/>
        <item x="888"/>
        <item x="778"/>
        <item x="187"/>
        <item x="570"/>
        <item x="236"/>
        <item x="535"/>
        <item x="396"/>
        <item x="701"/>
        <item x="871"/>
        <item x="220"/>
        <item x="529"/>
        <item x="555"/>
        <item x="284"/>
        <item x="517"/>
        <item x="893"/>
        <item x="163"/>
        <item x="362"/>
        <item x="465"/>
        <item x="708"/>
        <item x="207"/>
        <item x="861"/>
        <item x="480"/>
        <item x="605"/>
        <item x="204"/>
        <item x="326"/>
        <item x="402"/>
        <item x="628"/>
        <item x="798"/>
        <item x="240"/>
        <item x="290"/>
        <item x="836"/>
        <item x="900"/>
        <item x="448"/>
        <item x="114"/>
        <item x="644"/>
        <item x="378"/>
        <item x="369"/>
        <item x="501"/>
        <item x="182"/>
        <item x="471"/>
        <item x="816"/>
        <item x="930"/>
        <item x="693"/>
        <item x="610"/>
        <item x="523"/>
        <item x="678"/>
        <item x="288"/>
        <item x="238"/>
        <item x="716"/>
        <item x="482"/>
        <item x="277"/>
        <item x="127"/>
        <item x="703"/>
        <item x="39"/>
        <item x="205"/>
        <item x="100"/>
        <item x="321"/>
        <item x="812"/>
        <item x="279"/>
        <item x="849"/>
        <item x="6"/>
        <item x="24"/>
        <item x="911"/>
        <item x="136"/>
        <item x="382"/>
        <item x="870"/>
        <item x="308"/>
        <item x="418"/>
        <item x="714"/>
        <item x="92"/>
        <item x="920"/>
        <item x="94"/>
        <item x="769"/>
        <item x="25"/>
        <item x="28"/>
        <item x="346"/>
        <item x="393"/>
        <item x="255"/>
        <item x="103"/>
        <item x="383"/>
        <item x="943"/>
        <item x="233"/>
        <item x="250"/>
        <item x="745"/>
        <item x="259"/>
        <item x="35"/>
        <item x="747"/>
        <item x="547"/>
        <item x="762"/>
        <item x="648"/>
        <item x="384"/>
        <item x="506"/>
        <item x="307"/>
        <item x="858"/>
        <item x="865"/>
        <item x="331"/>
        <item x="181"/>
        <item x="184"/>
        <item x="244"/>
        <item x="851"/>
        <item x="842"/>
        <item x="855"/>
        <item x="436"/>
        <item x="763"/>
        <item x="5"/>
        <item x="582"/>
        <item x="191"/>
        <item x="449"/>
        <item x="138"/>
        <item x="589"/>
        <item x="684"/>
        <item x="148"/>
        <item x="56"/>
        <item x="446"/>
        <item x="335"/>
        <item x="261"/>
        <item x="390"/>
        <item x="617"/>
        <item x="310"/>
        <item x="473"/>
        <item x="178"/>
        <item x="765"/>
        <item x="603"/>
        <item x="521"/>
        <item x="57"/>
        <item x="912"/>
        <item x="662"/>
        <item x="632"/>
        <item x="457"/>
        <item x="257"/>
        <item x="613"/>
        <item x="799"/>
        <item x="174"/>
        <item x="41"/>
        <item x="508"/>
        <item x="549"/>
        <item x="248"/>
        <item x="274"/>
        <item x="217"/>
        <item x="95"/>
        <item x="791"/>
        <item x="216"/>
        <item x="84"/>
        <item x="872"/>
        <item x="317"/>
        <item x="511"/>
        <item x="788"/>
        <item x="150"/>
        <item x="97"/>
        <item x="2"/>
        <item x="575"/>
        <item x="807"/>
        <item x="304"/>
        <item x="909"/>
        <item x="262"/>
        <item x="607"/>
        <item x="392"/>
        <item x="625"/>
        <item x="821"/>
        <item x="370"/>
        <item x="11"/>
        <item x="146"/>
        <item x="281"/>
        <item x="269"/>
        <item x="408"/>
        <item x="316"/>
        <item x="266"/>
        <item x="574"/>
        <item x="739"/>
        <item x="624"/>
        <item x="690"/>
        <item x="417"/>
        <item x="47"/>
        <item x="86"/>
        <item x="423"/>
        <item x="593"/>
        <item x="640"/>
        <item x="505"/>
        <item x="795"/>
        <item x="533"/>
        <item x="560"/>
        <item x="192"/>
        <item x="320"/>
        <item x="670"/>
        <item x="552"/>
        <item x="314"/>
        <item x="299"/>
        <item x="783"/>
        <item x="461"/>
        <item x="234"/>
        <item x="30"/>
        <item x="214"/>
        <item x="347"/>
        <item x="46"/>
        <item x="856"/>
        <item x="226"/>
        <item x="330"/>
        <item x="503"/>
        <item x="490"/>
        <item x="199"/>
        <item x="818"/>
        <item x="210"/>
        <item x="785"/>
        <item x="453"/>
        <item x="351"/>
        <item x="54"/>
        <item x="571"/>
        <item x="4"/>
        <item x="119"/>
        <item x="232"/>
        <item x="169"/>
        <item x="270"/>
        <item x="755"/>
        <item x="652"/>
        <item x="806"/>
        <item x="586"/>
        <item x="76"/>
        <item x="157"/>
        <item x="892"/>
        <item x="831"/>
        <item x="588"/>
        <item x="797"/>
        <item x="67"/>
        <item x="164"/>
        <item x="933"/>
        <item x="126"/>
        <item x="398"/>
        <item x="27"/>
        <item x="128"/>
        <item x="546"/>
        <item x="158"/>
        <item x="196"/>
        <item x="740"/>
        <item x="356"/>
        <item x="914"/>
        <item x="712"/>
        <item x="324"/>
        <item x="585"/>
        <item x="462"/>
        <item x="553"/>
        <item x="135"/>
        <item x="578"/>
        <item x="537"/>
        <item x="106"/>
        <item x="660"/>
        <item x="880"/>
        <item x="901"/>
        <item x="525"/>
        <item x="298"/>
        <item x="287"/>
        <item x="775"/>
        <item x="577"/>
        <item x="426"/>
        <item x="81"/>
        <item x="278"/>
        <item x="341"/>
        <item x="492"/>
        <item x="472"/>
        <item x="156"/>
        <item x="562"/>
        <item x="600"/>
        <item x="929"/>
        <item x="528"/>
        <item x="227"/>
        <item x="50"/>
        <item x="622"/>
        <item x="894"/>
        <item x="850"/>
        <item x="273"/>
        <item x="531"/>
        <item x="715"/>
        <item x="213"/>
        <item x="77"/>
        <item x="51"/>
        <item x="83"/>
        <item x="692"/>
        <item x="935"/>
        <item x="140"/>
        <item x="235"/>
        <item x="697"/>
        <item x="683"/>
        <item x="459"/>
        <item x="487"/>
        <item x="875"/>
        <item x="155"/>
        <item x="742"/>
        <item x="651"/>
        <item x="381"/>
        <item x="344"/>
        <item x="637"/>
        <item x="442"/>
        <item x="340"/>
        <item x="154"/>
        <item x="724"/>
        <item x="358"/>
        <item x="847"/>
        <item x="532"/>
        <item x="619"/>
        <item x="655"/>
        <item x="630"/>
        <item x="194"/>
        <item x="572"/>
        <item x="809"/>
        <item x="672"/>
        <item x="726"/>
        <item x="439"/>
        <item x="780"/>
        <item x="493"/>
        <item x="144"/>
        <item x="649"/>
        <item x="718"/>
        <item x="376"/>
        <item x="186"/>
        <item x="160"/>
        <item x="611"/>
        <item x="42"/>
        <item x="431"/>
        <item x="592"/>
        <item x="373"/>
        <item x="467"/>
        <item x="272"/>
        <item x="757"/>
        <item x="526"/>
        <item x="319"/>
        <item x="938"/>
        <item x="903"/>
        <item x="361"/>
        <item x="759"/>
        <item x="748"/>
        <item x="773"/>
        <item x="333"/>
        <item x="881"/>
        <item x="223"/>
        <item x="609"/>
        <item x="685"/>
        <item x="669"/>
        <item x="295"/>
        <item x="702"/>
        <item x="486"/>
        <item x="601"/>
        <item x="869"/>
        <item x="476"/>
        <item x="474"/>
        <item x="162"/>
        <item x="61"/>
        <item x="846"/>
        <item x="271"/>
        <item x="777"/>
        <item x="623"/>
        <item x="687"/>
        <item x="495"/>
        <item x="79"/>
        <item x="239"/>
        <item x="229"/>
        <item x="52"/>
        <item x="267"/>
        <item x="297"/>
        <item x="379"/>
        <item x="882"/>
        <item x="680"/>
        <item x="612"/>
        <item x="122"/>
        <item x="354"/>
        <item x="558"/>
        <item x="228"/>
        <item x="252"/>
        <item x="735"/>
        <item x="811"/>
        <item x="371"/>
        <item x="334"/>
        <item x="353"/>
        <item x="404"/>
        <item x="309"/>
        <item x="203"/>
        <item x="413"/>
        <item x="519"/>
        <item x="82"/>
        <item x="118"/>
        <item x="44"/>
        <item x="365"/>
        <item x="926"/>
        <item x="37"/>
        <item x="66"/>
        <item x="931"/>
        <item x="75"/>
        <item x="111"/>
        <item x="750"/>
        <item x="711"/>
        <item x="477"/>
        <item x="813"/>
        <item x="43"/>
        <item x="377"/>
        <item x="258"/>
        <item x="862"/>
        <item x="905"/>
        <item x="117"/>
        <item x="355"/>
        <item x="489"/>
        <item x="885"/>
        <item x="752"/>
        <item x="372"/>
        <item x="772"/>
        <item x="707"/>
        <item x="594"/>
        <item x="99"/>
        <item x="587"/>
        <item x="215"/>
        <item x="243"/>
        <item x="1"/>
        <item x="386"/>
        <item x="342"/>
        <item x="641"/>
        <item x="663"/>
        <item x="325"/>
        <item x="329"/>
        <item x="425"/>
        <item x="918"/>
        <item x="104"/>
        <item x="89"/>
        <item x="543"/>
        <item x="45"/>
        <item x="336"/>
        <item x="700"/>
        <item x="113"/>
        <item x="350"/>
        <item x="260"/>
        <item x="530"/>
        <item x="305"/>
        <item x="770"/>
        <item x="496"/>
        <item x="667"/>
        <item x="634"/>
        <item x="110"/>
        <item x="868"/>
        <item x="189"/>
        <item x="541"/>
        <item x="302"/>
        <item x="53"/>
        <item x="447"/>
        <item x="786"/>
        <item x="283"/>
        <item x="470"/>
        <item x="761"/>
        <item x="337"/>
        <item x="840"/>
        <item x="539"/>
        <item x="803"/>
        <item x="328"/>
        <item x="171"/>
        <item x="115"/>
        <item x="397"/>
        <item x="364"/>
        <item x="14"/>
        <item x="706"/>
        <item x="545"/>
        <item x="185"/>
        <item x="907"/>
        <item x="576"/>
        <item x="843"/>
        <item x="895"/>
        <item x="466"/>
        <item x="688"/>
        <item x="366"/>
        <item x="147"/>
        <item x="20"/>
        <item t="default"/>
      </items>
    </pivotField>
    <pivotField compact="0" outline="0" showAll="0"/>
    <pivotField axis="axisPage" compact="0" outline="0" multipleItemSelectionAllowed="1" showAll="0">
      <items count="4">
        <item h="1" x="1"/>
        <item h="1" x="2"/>
        <item x="0"/>
        <item t="default"/>
      </items>
    </pivotField>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pageFields count="1">
    <pageField fld="10" hier="-1"/>
  </pageFields>
  <dataFields count="1">
    <dataField name="Sum of Revenue" fld="8" showDataAs="percentOfCol" baseField="8" baseItem="0" numFmtId="10"/>
  </dataFields>
  <chartFormats count="8">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CC71E-0DF6-A345-B7EA-43EB8669E3D3}" name="Month Trend" cacheId="37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7">
  <location ref="A16:D28" firstHeaderRow="0" firstDataRow="1" firstDataCol="1" rowPageCount="1" colPageCount="1"/>
  <pivotFields count="16">
    <pivotField compact="0" numFmtId="14" outline="0" showAll="0" sortType="ascending">
      <items count="208">
        <item x="99"/>
        <item x="169"/>
        <item x="24"/>
        <item x="119"/>
        <item x="86"/>
        <item x="162"/>
        <item x="129"/>
        <item x="196"/>
        <item x="176"/>
        <item x="144"/>
        <item x="90"/>
        <item x="125"/>
        <item x="163"/>
        <item x="17"/>
        <item x="7"/>
        <item x="115"/>
        <item x="103"/>
        <item x="22"/>
        <item x="188"/>
        <item x="193"/>
        <item x="141"/>
        <item x="189"/>
        <item x="161"/>
        <item x="106"/>
        <item x="166"/>
        <item x="56"/>
        <item x="147"/>
        <item x="40"/>
        <item x="114"/>
        <item x="81"/>
        <item x="120"/>
        <item x="35"/>
        <item x="200"/>
        <item x="19"/>
        <item x="26"/>
        <item x="130"/>
        <item x="78"/>
        <item x="29"/>
        <item x="89"/>
        <item x="52"/>
        <item x="109"/>
        <item x="28"/>
        <item x="191"/>
        <item x="87"/>
        <item x="148"/>
        <item x="181"/>
        <item x="47"/>
        <item x="102"/>
        <item x="167"/>
        <item x="133"/>
        <item x="152"/>
        <item x="173"/>
        <item x="198"/>
        <item x="61"/>
        <item x="98"/>
        <item x="2"/>
        <item x="105"/>
        <item x="68"/>
        <item x="5"/>
        <item x="38"/>
        <item x="66"/>
        <item x="53"/>
        <item x="134"/>
        <item x="58"/>
        <item x="118"/>
        <item x="23"/>
        <item x="156"/>
        <item x="155"/>
        <item x="205"/>
        <item x="158"/>
        <item x="18"/>
        <item x="96"/>
        <item x="62"/>
        <item x="108"/>
        <item x="74"/>
        <item x="117"/>
        <item x="59"/>
        <item x="12"/>
        <item x="64"/>
        <item x="21"/>
        <item x="149"/>
        <item x="37"/>
        <item x="179"/>
        <item x="100"/>
        <item x="43"/>
        <item x="174"/>
        <item x="91"/>
        <item x="51"/>
        <item x="97"/>
        <item x="202"/>
        <item x="69"/>
        <item x="137"/>
        <item x="140"/>
        <item x="25"/>
        <item x="14"/>
        <item x="50"/>
        <item x="177"/>
        <item x="10"/>
        <item x="128"/>
        <item x="194"/>
        <item x="126"/>
        <item x="182"/>
        <item x="46"/>
        <item x="30"/>
        <item x="172"/>
        <item x="73"/>
        <item x="45"/>
        <item x="1"/>
        <item x="138"/>
        <item x="85"/>
        <item x="33"/>
        <item x="94"/>
        <item x="60"/>
        <item x="79"/>
        <item x="168"/>
        <item x="20"/>
        <item x="32"/>
        <item x="76"/>
        <item x="44"/>
        <item x="95"/>
        <item x="42"/>
        <item x="48"/>
        <item x="49"/>
        <item x="54"/>
        <item x="55"/>
        <item x="151"/>
        <item x="8"/>
        <item x="206"/>
        <item x="27"/>
        <item x="131"/>
        <item x="63"/>
        <item x="101"/>
        <item x="121"/>
        <item x="122"/>
        <item x="41"/>
        <item x="136"/>
        <item x="34"/>
        <item x="178"/>
        <item x="116"/>
        <item x="13"/>
        <item x="4"/>
        <item x="75"/>
        <item x="110"/>
        <item x="71"/>
        <item x="84"/>
        <item x="16"/>
        <item x="113"/>
        <item x="146"/>
        <item x="9"/>
        <item x="135"/>
        <item x="150"/>
        <item x="187"/>
        <item x="159"/>
        <item x="145"/>
        <item x="6"/>
        <item x="111"/>
        <item x="170"/>
        <item x="185"/>
        <item x="186"/>
        <item x="88"/>
        <item x="39"/>
        <item x="83"/>
        <item x="0"/>
        <item x="11"/>
        <item x="77"/>
        <item x="67"/>
        <item x="123"/>
        <item x="72"/>
        <item x="92"/>
        <item x="142"/>
        <item x="31"/>
        <item x="132"/>
        <item x="36"/>
        <item x="157"/>
        <item x="93"/>
        <item x="127"/>
        <item x="82"/>
        <item x="57"/>
        <item x="195"/>
        <item x="65"/>
        <item x="80"/>
        <item x="154"/>
        <item x="104"/>
        <item x="107"/>
        <item x="160"/>
        <item x="143"/>
        <item x="3"/>
        <item x="153"/>
        <item x="190"/>
        <item x="192"/>
        <item x="183"/>
        <item x="139"/>
        <item x="112"/>
        <item x="70"/>
        <item x="197"/>
        <item x="203"/>
        <item x="175"/>
        <item x="180"/>
        <item x="201"/>
        <item x="199"/>
        <item x="204"/>
        <item x="15"/>
        <item x="164"/>
        <item x="165"/>
        <item x="184"/>
        <item x="124"/>
        <item x="171"/>
        <item t="default"/>
      </items>
    </pivotField>
    <pivotField axis="axisRow" compact="0" outline="0" showAll="0">
      <items count="13">
        <item x="6"/>
        <item x="2"/>
        <item x="5"/>
        <item x="1"/>
        <item x="4"/>
        <item x="0"/>
        <item x="9"/>
        <item x="3"/>
        <item x="10"/>
        <item x="8"/>
        <item x="7"/>
        <item x="11"/>
        <item t="default"/>
      </items>
    </pivotField>
    <pivotField compact="0" outline="0" showAll="0"/>
    <pivotField compact="0" outline="0" showAll="0"/>
    <pivotField compact="0" outline="0" showAll="0">
      <items count="3">
        <item x="0"/>
        <item x="1"/>
        <item t="default"/>
      </items>
    </pivotField>
    <pivotField compact="0" outline="0" showAll="0">
      <items count="5">
        <item h="1" x="0"/>
        <item h="1" x="2"/>
        <item x="1"/>
        <item h="1" x="3"/>
        <item t="default"/>
      </items>
    </pivotField>
    <pivotField compact="0" outline="0" showAll="0"/>
    <pivotField compact="0" outline="0" showAll="0"/>
    <pivotField dataField="1" compact="0" outline="0" showAll="0"/>
    <pivotField dataField="1" compact="0" outline="0" showAll="0"/>
    <pivotField axis="axisPage" compact="0" outline="0" multipleItemSelectionAllowed="1" showAll="0">
      <items count="4">
        <item h="1" x="1"/>
        <item h="1" x="2"/>
        <item x="0"/>
        <item t="default"/>
      </items>
    </pivotField>
    <pivotField compact="0" outline="0" showAll="0"/>
    <pivotField dataField="1" compact="0" outline="0" showAll="0"/>
    <pivotField compact="0" outline="0" showAll="0"/>
    <pivotField compact="0" outline="0"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2">
    <i>
      <x/>
    </i>
    <i>
      <x v="1"/>
    </i>
    <i>
      <x v="2"/>
    </i>
    <i>
      <x v="3"/>
    </i>
    <i>
      <x v="4"/>
    </i>
    <i>
      <x v="5"/>
    </i>
    <i>
      <x v="6"/>
    </i>
    <i>
      <x v="7"/>
    </i>
    <i>
      <x v="8"/>
    </i>
    <i>
      <x v="9"/>
    </i>
    <i>
      <x v="11"/>
    </i>
    <i t="grand">
      <x/>
    </i>
  </rowItems>
  <colFields count="1">
    <field x="-2"/>
  </colFields>
  <colItems count="3">
    <i>
      <x/>
    </i>
    <i i="1">
      <x v="1"/>
    </i>
    <i i="2">
      <x v="2"/>
    </i>
  </colItems>
  <pageFields count="1">
    <pageField fld="10" hier="-1"/>
  </pageFields>
  <dataFields count="3">
    <dataField name="Sum of Revenue" fld="8" baseField="0" baseItem="0"/>
    <dataField name="Sum of Cost" fld="9" baseField="0" baseItem="0"/>
    <dataField name="Sum of Profit"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Q1" evalOrder="-1" id="3">
      <autoFilter ref="A1">
        <filterColumn colId="0">
          <dynamicFilter type="Q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B8507-6776-4D23-B900-089EEAACFFC2}" name="KPI " cacheId="3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5" firstHeaderRow="0" firstDataRow="1" firstDataCol="0" rowPageCount="1" colPageCount="1"/>
  <pivotFields count="16">
    <pivotField compact="0" numFmtId="14" outline="0" showAll="0" sortType="ascending">
      <items count="208">
        <item x="99"/>
        <item x="169"/>
        <item x="24"/>
        <item x="119"/>
        <item x="86"/>
        <item x="162"/>
        <item x="129"/>
        <item x="196"/>
        <item x="176"/>
        <item x="144"/>
        <item x="90"/>
        <item x="125"/>
        <item x="163"/>
        <item x="17"/>
        <item x="7"/>
        <item x="115"/>
        <item x="103"/>
        <item x="22"/>
        <item x="188"/>
        <item x="193"/>
        <item x="141"/>
        <item x="189"/>
        <item x="161"/>
        <item x="106"/>
        <item x="166"/>
        <item x="56"/>
        <item x="147"/>
        <item x="40"/>
        <item x="114"/>
        <item x="81"/>
        <item x="120"/>
        <item x="35"/>
        <item x="200"/>
        <item x="19"/>
        <item x="26"/>
        <item x="130"/>
        <item x="78"/>
        <item x="29"/>
        <item x="89"/>
        <item x="52"/>
        <item x="109"/>
        <item x="28"/>
        <item x="191"/>
        <item x="87"/>
        <item x="148"/>
        <item x="181"/>
        <item x="47"/>
        <item x="102"/>
        <item x="167"/>
        <item x="133"/>
        <item x="152"/>
        <item x="173"/>
        <item x="198"/>
        <item x="61"/>
        <item x="98"/>
        <item x="2"/>
        <item x="105"/>
        <item x="68"/>
        <item x="5"/>
        <item x="38"/>
        <item x="66"/>
        <item x="53"/>
        <item x="134"/>
        <item x="58"/>
        <item x="118"/>
        <item x="23"/>
        <item x="156"/>
        <item x="155"/>
        <item x="205"/>
        <item x="158"/>
        <item x="18"/>
        <item x="96"/>
        <item x="62"/>
        <item x="108"/>
        <item x="74"/>
        <item x="117"/>
        <item x="59"/>
        <item x="12"/>
        <item x="64"/>
        <item x="21"/>
        <item x="149"/>
        <item x="37"/>
        <item x="179"/>
        <item x="100"/>
        <item x="43"/>
        <item x="174"/>
        <item x="91"/>
        <item x="51"/>
        <item x="97"/>
        <item x="202"/>
        <item x="69"/>
        <item x="137"/>
        <item x="140"/>
        <item x="25"/>
        <item x="14"/>
        <item x="50"/>
        <item x="177"/>
        <item x="10"/>
        <item x="128"/>
        <item x="194"/>
        <item x="126"/>
        <item x="182"/>
        <item x="46"/>
        <item x="30"/>
        <item x="172"/>
        <item x="73"/>
        <item x="45"/>
        <item x="1"/>
        <item x="138"/>
        <item x="85"/>
        <item x="33"/>
        <item x="94"/>
        <item x="60"/>
        <item x="79"/>
        <item x="168"/>
        <item x="20"/>
        <item x="32"/>
        <item x="76"/>
        <item x="44"/>
        <item x="95"/>
        <item x="42"/>
        <item x="48"/>
        <item x="49"/>
        <item x="54"/>
        <item x="55"/>
        <item x="151"/>
        <item x="8"/>
        <item x="206"/>
        <item x="27"/>
        <item x="131"/>
        <item x="63"/>
        <item x="101"/>
        <item x="121"/>
        <item x="122"/>
        <item x="41"/>
        <item x="136"/>
        <item x="34"/>
        <item x="178"/>
        <item x="116"/>
        <item x="13"/>
        <item x="4"/>
        <item x="75"/>
        <item x="110"/>
        <item x="71"/>
        <item x="84"/>
        <item x="16"/>
        <item x="113"/>
        <item x="146"/>
        <item x="9"/>
        <item x="135"/>
        <item x="150"/>
        <item x="187"/>
        <item x="159"/>
        <item x="145"/>
        <item x="6"/>
        <item x="111"/>
        <item x="170"/>
        <item x="185"/>
        <item x="186"/>
        <item x="88"/>
        <item x="39"/>
        <item x="83"/>
        <item x="0"/>
        <item x="11"/>
        <item x="77"/>
        <item x="67"/>
        <item x="123"/>
        <item x="72"/>
        <item x="92"/>
        <item x="142"/>
        <item x="31"/>
        <item x="132"/>
        <item x="36"/>
        <item x="157"/>
        <item x="93"/>
        <item x="127"/>
        <item x="82"/>
        <item x="57"/>
        <item x="195"/>
        <item x="65"/>
        <item x="80"/>
        <item x="154"/>
        <item x="104"/>
        <item x="107"/>
        <item x="160"/>
        <item x="143"/>
        <item x="3"/>
        <item x="153"/>
        <item x="190"/>
        <item x="192"/>
        <item x="183"/>
        <item x="139"/>
        <item x="112"/>
        <item x="70"/>
        <item x="197"/>
        <item x="203"/>
        <item x="175"/>
        <item x="180"/>
        <item x="201"/>
        <item x="199"/>
        <item x="204"/>
        <item x="15"/>
        <item x="164"/>
        <item x="165"/>
        <item x="184"/>
        <item x="124"/>
        <item x="17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axis="axisPage" compact="0" outline="0" multipleItemSelectionAllowed="1" showAll="0">
      <items count="4">
        <item h="1" x="1"/>
        <item h="1" x="2"/>
        <item x="0"/>
        <item t="default"/>
      </items>
    </pivotField>
    <pivotField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pageFields count="1">
    <pageField fld="10" hier="-1"/>
  </pageFields>
  <dataFields count="4">
    <dataField name="Sum of Revenue" fld="8" baseField="0" baseItem="0"/>
    <dataField name="Sum of Cost" fld="9" baseField="0" baseItem="0"/>
    <dataField name="Sum of Units Sold" fld="7" baseField="0" baseItem="0"/>
    <dataField name="Sum of Profit" fld="12" baseField="0" baseItem="0"/>
  </dataFields>
  <pivotTableStyleInfo name="PivotStyleLight16" showRowHeaders="1" showColHeaders="1" showRowStripes="0" showColStripes="0" showLastColumn="1"/>
  <filters count="1">
    <filter fld="0" type="yearToDate" evalOrder="-1" id="2">
      <autoFilter ref="A1">
        <filterColumn colId="0">
          <dynamicFilter type="yearToDate" val="46023" maxVal="4609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BF9CAF-5047-9B41-8F11-5291B86A9254}" name="Region Pivot" cacheId="376"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9">
  <location ref="A51:B56" firstHeaderRow="1" firstDataRow="1" firstDataCol="1" rowPageCount="1" colPageCount="1"/>
  <pivotFields count="16">
    <pivotField compact="0" numFmtId="14" outline="0" showAll="0" sortType="ascending">
      <items count="208">
        <item x="99"/>
        <item x="169"/>
        <item x="24"/>
        <item x="119"/>
        <item x="86"/>
        <item x="162"/>
        <item x="129"/>
        <item x="196"/>
        <item x="176"/>
        <item x="144"/>
        <item x="90"/>
        <item x="125"/>
        <item x="163"/>
        <item x="17"/>
        <item x="7"/>
        <item x="115"/>
        <item x="103"/>
        <item x="22"/>
        <item x="188"/>
        <item x="193"/>
        <item x="141"/>
        <item x="189"/>
        <item x="161"/>
        <item x="106"/>
        <item x="166"/>
        <item x="56"/>
        <item x="147"/>
        <item x="40"/>
        <item x="114"/>
        <item x="81"/>
        <item x="120"/>
        <item x="35"/>
        <item x="200"/>
        <item x="19"/>
        <item x="26"/>
        <item x="130"/>
        <item x="78"/>
        <item x="29"/>
        <item x="89"/>
        <item x="52"/>
        <item x="109"/>
        <item x="28"/>
        <item x="191"/>
        <item x="87"/>
        <item x="148"/>
        <item x="181"/>
        <item x="47"/>
        <item x="102"/>
        <item x="167"/>
        <item x="133"/>
        <item x="152"/>
        <item x="173"/>
        <item x="198"/>
        <item x="61"/>
        <item x="98"/>
        <item x="2"/>
        <item x="105"/>
        <item x="68"/>
        <item x="5"/>
        <item x="38"/>
        <item x="66"/>
        <item x="53"/>
        <item x="134"/>
        <item x="58"/>
        <item x="118"/>
        <item x="23"/>
        <item x="156"/>
        <item x="155"/>
        <item x="205"/>
        <item x="158"/>
        <item x="18"/>
        <item x="96"/>
        <item x="62"/>
        <item x="108"/>
        <item x="74"/>
        <item x="117"/>
        <item x="59"/>
        <item x="12"/>
        <item x="64"/>
        <item x="21"/>
        <item x="149"/>
        <item x="37"/>
        <item x="179"/>
        <item x="100"/>
        <item x="43"/>
        <item x="174"/>
        <item x="91"/>
        <item x="51"/>
        <item x="97"/>
        <item x="202"/>
        <item x="69"/>
        <item x="137"/>
        <item x="140"/>
        <item x="25"/>
        <item x="14"/>
        <item x="50"/>
        <item x="177"/>
        <item x="10"/>
        <item x="128"/>
        <item x="194"/>
        <item x="126"/>
        <item x="182"/>
        <item x="46"/>
        <item x="30"/>
        <item x="172"/>
        <item x="73"/>
        <item x="45"/>
        <item x="1"/>
        <item x="138"/>
        <item x="85"/>
        <item x="33"/>
        <item x="94"/>
        <item x="60"/>
        <item x="79"/>
        <item x="168"/>
        <item x="20"/>
        <item x="32"/>
        <item x="76"/>
        <item x="44"/>
        <item x="95"/>
        <item x="42"/>
        <item x="48"/>
        <item x="49"/>
        <item x="54"/>
        <item x="55"/>
        <item x="151"/>
        <item x="8"/>
        <item x="206"/>
        <item x="27"/>
        <item x="131"/>
        <item x="63"/>
        <item x="101"/>
        <item x="121"/>
        <item x="122"/>
        <item x="41"/>
        <item x="136"/>
        <item x="34"/>
        <item x="178"/>
        <item x="116"/>
        <item x="13"/>
        <item x="4"/>
        <item x="75"/>
        <item x="110"/>
        <item x="71"/>
        <item x="84"/>
        <item x="16"/>
        <item x="113"/>
        <item x="146"/>
        <item x="9"/>
        <item x="135"/>
        <item x="150"/>
        <item x="187"/>
        <item x="159"/>
        <item x="145"/>
        <item x="6"/>
        <item x="111"/>
        <item x="170"/>
        <item x="185"/>
        <item x="186"/>
        <item x="88"/>
        <item x="39"/>
        <item x="83"/>
        <item x="0"/>
        <item x="11"/>
        <item x="77"/>
        <item x="67"/>
        <item x="123"/>
        <item x="72"/>
        <item x="92"/>
        <item x="142"/>
        <item x="31"/>
        <item x="132"/>
        <item x="36"/>
        <item x="157"/>
        <item x="93"/>
        <item x="127"/>
        <item x="82"/>
        <item x="57"/>
        <item x="195"/>
        <item x="65"/>
        <item x="80"/>
        <item x="154"/>
        <item x="104"/>
        <item x="107"/>
        <item x="160"/>
        <item x="143"/>
        <item x="3"/>
        <item x="153"/>
        <item x="190"/>
        <item x="192"/>
        <item x="183"/>
        <item x="139"/>
        <item x="112"/>
        <item x="70"/>
        <item x="197"/>
        <item x="203"/>
        <item x="175"/>
        <item x="180"/>
        <item x="201"/>
        <item x="199"/>
        <item x="204"/>
        <item x="15"/>
        <item x="164"/>
        <item x="165"/>
        <item x="184"/>
        <item x="124"/>
        <item x="171"/>
        <item t="default"/>
      </items>
    </pivotField>
    <pivotField compact="0" outline="0" showAll="0">
      <items count="13">
        <item x="6"/>
        <item x="2"/>
        <item x="5"/>
        <item x="1"/>
        <item x="4"/>
        <item x="0"/>
        <item x="9"/>
        <item x="3"/>
        <item x="10"/>
        <item x="8"/>
        <item x="7"/>
        <item x="11"/>
        <item t="default"/>
      </items>
    </pivotField>
    <pivotField compact="0" outline="0" showAll="0"/>
    <pivotField compact="0" outline="0" showAll="0"/>
    <pivotField compact="0" outline="0" showAll="0">
      <items count="3">
        <item x="0"/>
        <item x="1"/>
        <item t="default"/>
      </items>
    </pivotField>
    <pivotField axis="axisRow" compact="0" outline="0" showAll="0">
      <items count="5">
        <item x="0"/>
        <item x="2"/>
        <item x="1"/>
        <item x="3"/>
        <item t="default"/>
      </items>
    </pivotField>
    <pivotField compact="0" outline="0" showAll="0"/>
    <pivotField compact="0" outline="0" showAll="0"/>
    <pivotField dataField="1" compact="0" outline="0" showAll="0"/>
    <pivotField compact="0" outline="0" showAll="0"/>
    <pivotField axis="axisPage" compact="0" outline="0" multipleItemSelectionAllowed="1" showAll="0">
      <items count="4">
        <item h="1" x="1"/>
        <item h="1" x="2"/>
        <item x="0"/>
        <item t="default"/>
      </items>
    </pivotField>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pageFields count="1">
    <pageField fld="10" hier="-1"/>
  </pageFields>
  <dataFields count="1">
    <dataField name="Sum of Revenue" fld="8"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6AB7F5-9505-074E-A081-D71B88859B97}" name="Sales Person Pivot" cacheId="376"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8">
  <location ref="A33:C40" firstHeaderRow="0" firstDataRow="1" firstDataCol="1" rowPageCount="1" colPageCount="1"/>
  <pivotFields count="16">
    <pivotField compact="0" numFmtId="14" outline="0" showAll="0" sortType="ascending">
      <items count="208">
        <item x="99"/>
        <item x="169"/>
        <item x="24"/>
        <item x="119"/>
        <item x="86"/>
        <item x="162"/>
        <item x="129"/>
        <item x="196"/>
        <item x="176"/>
        <item x="144"/>
        <item x="90"/>
        <item x="125"/>
        <item x="163"/>
        <item x="17"/>
        <item x="7"/>
        <item x="115"/>
        <item x="103"/>
        <item x="22"/>
        <item x="188"/>
        <item x="193"/>
        <item x="141"/>
        <item x="189"/>
        <item x="161"/>
        <item x="106"/>
        <item x="166"/>
        <item x="56"/>
        <item x="147"/>
        <item x="40"/>
        <item x="114"/>
        <item x="81"/>
        <item x="120"/>
        <item x="35"/>
        <item x="200"/>
        <item x="19"/>
        <item x="26"/>
        <item x="130"/>
        <item x="78"/>
        <item x="29"/>
        <item x="89"/>
        <item x="52"/>
        <item x="109"/>
        <item x="28"/>
        <item x="191"/>
        <item x="87"/>
        <item x="148"/>
        <item x="181"/>
        <item x="47"/>
        <item x="102"/>
        <item x="167"/>
        <item x="133"/>
        <item x="152"/>
        <item x="173"/>
        <item x="198"/>
        <item x="61"/>
        <item x="98"/>
        <item x="2"/>
        <item x="105"/>
        <item x="68"/>
        <item x="5"/>
        <item x="38"/>
        <item x="66"/>
        <item x="53"/>
        <item x="134"/>
        <item x="58"/>
        <item x="118"/>
        <item x="23"/>
        <item x="156"/>
        <item x="155"/>
        <item x="205"/>
        <item x="158"/>
        <item x="18"/>
        <item x="96"/>
        <item x="62"/>
        <item x="108"/>
        <item x="74"/>
        <item x="117"/>
        <item x="59"/>
        <item x="12"/>
        <item x="64"/>
        <item x="21"/>
        <item x="149"/>
        <item x="37"/>
        <item x="179"/>
        <item x="100"/>
        <item x="43"/>
        <item x="174"/>
        <item x="91"/>
        <item x="51"/>
        <item x="97"/>
        <item x="202"/>
        <item x="69"/>
        <item x="137"/>
        <item x="140"/>
        <item x="25"/>
        <item x="14"/>
        <item x="50"/>
        <item x="177"/>
        <item x="10"/>
        <item x="128"/>
        <item x="194"/>
        <item x="126"/>
        <item x="182"/>
        <item x="46"/>
        <item x="30"/>
        <item x="172"/>
        <item x="73"/>
        <item x="45"/>
        <item x="1"/>
        <item x="138"/>
        <item x="85"/>
        <item x="33"/>
        <item x="94"/>
        <item x="60"/>
        <item x="79"/>
        <item x="168"/>
        <item x="20"/>
        <item x="32"/>
        <item x="76"/>
        <item x="44"/>
        <item x="95"/>
        <item x="42"/>
        <item x="48"/>
        <item x="49"/>
        <item x="54"/>
        <item x="55"/>
        <item x="151"/>
        <item x="8"/>
        <item x="206"/>
        <item x="27"/>
        <item x="131"/>
        <item x="63"/>
        <item x="101"/>
        <item x="121"/>
        <item x="122"/>
        <item x="41"/>
        <item x="136"/>
        <item x="34"/>
        <item x="178"/>
        <item x="116"/>
        <item x="13"/>
        <item x="4"/>
        <item x="75"/>
        <item x="110"/>
        <item x="71"/>
        <item x="84"/>
        <item x="16"/>
        <item x="113"/>
        <item x="146"/>
        <item x="9"/>
        <item x="135"/>
        <item x="150"/>
        <item x="187"/>
        <item x="159"/>
        <item x="145"/>
        <item x="6"/>
        <item x="111"/>
        <item x="170"/>
        <item x="185"/>
        <item x="186"/>
        <item x="88"/>
        <item x="39"/>
        <item x="83"/>
        <item x="0"/>
        <item x="11"/>
        <item x="77"/>
        <item x="67"/>
        <item x="123"/>
        <item x="72"/>
        <item x="92"/>
        <item x="142"/>
        <item x="31"/>
        <item x="132"/>
        <item x="36"/>
        <item x="157"/>
        <item x="93"/>
        <item x="127"/>
        <item x="82"/>
        <item x="57"/>
        <item x="195"/>
        <item x="65"/>
        <item x="80"/>
        <item x="154"/>
        <item x="104"/>
        <item x="107"/>
        <item x="160"/>
        <item x="143"/>
        <item x="3"/>
        <item x="153"/>
        <item x="190"/>
        <item x="192"/>
        <item x="183"/>
        <item x="139"/>
        <item x="112"/>
        <item x="70"/>
        <item x="197"/>
        <item x="203"/>
        <item x="175"/>
        <item x="180"/>
        <item x="201"/>
        <item x="199"/>
        <item x="204"/>
        <item x="15"/>
        <item x="164"/>
        <item x="165"/>
        <item x="184"/>
        <item x="124"/>
        <item x="171"/>
        <item t="default"/>
      </items>
    </pivotField>
    <pivotField compact="0" outline="0" showAll="0">
      <items count="13">
        <item x="6"/>
        <item x="2"/>
        <item x="5"/>
        <item x="1"/>
        <item x="4"/>
        <item x="0"/>
        <item x="9"/>
        <item x="3"/>
        <item x="10"/>
        <item x="8"/>
        <item x="7"/>
        <item x="11"/>
        <item t="default"/>
      </items>
    </pivotField>
    <pivotField compact="0" outline="0" showAll="0"/>
    <pivotField compact="0" outline="0" showAll="0"/>
    <pivotField compact="0" outline="0" showAll="0">
      <items count="3">
        <item x="0"/>
        <item x="1"/>
        <item t="default"/>
      </items>
    </pivotField>
    <pivotField compact="0" outline="0" showAll="0">
      <items count="5">
        <item h="1" x="0"/>
        <item h="1" x="2"/>
        <item x="1"/>
        <item h="1" x="3"/>
        <item t="default"/>
      </items>
    </pivotField>
    <pivotField axis="axisRow" compact="0" outline="0" showAll="0" sortType="descending">
      <items count="7">
        <item x="3"/>
        <item x="1"/>
        <item x="0"/>
        <item x="2"/>
        <item x="4"/>
        <item x="5"/>
        <item t="default"/>
      </items>
      <autoSortScope>
        <pivotArea dataOnly="0" outline="0" fieldPosition="0">
          <references count="1">
            <reference field="4294967294" count="1" selected="0">
              <x v="0"/>
            </reference>
          </references>
        </pivotArea>
      </autoSortScope>
    </pivotField>
    <pivotField dataField="1" compact="0" outline="0" showAll="0"/>
    <pivotField dataField="1" compact="0" outline="0" showAll="0"/>
    <pivotField compact="0" outline="0" showAll="0"/>
    <pivotField axis="axisPage" compact="0" outline="0" multipleItemSelectionAllowed="1" showAll="0">
      <items count="4">
        <item h="1" x="1"/>
        <item h="1" x="2"/>
        <item x="0"/>
        <item t="default"/>
      </items>
    </pivotField>
    <pivotField compact="0" outline="0" showAll="0"/>
    <pivotField compact="0" outline="0" showAll="0"/>
    <pivotField compact="0" outline="0" showAll="0"/>
    <pivotField compact="0" outline="0"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3"/>
    </i>
    <i>
      <x v="4"/>
    </i>
    <i>
      <x v="1"/>
    </i>
    <i>
      <x v="2"/>
    </i>
    <i>
      <x/>
    </i>
    <i>
      <x v="5"/>
    </i>
    <i t="grand">
      <x/>
    </i>
  </rowItems>
  <colFields count="1">
    <field x="-2"/>
  </colFields>
  <colItems count="2">
    <i>
      <x/>
    </i>
    <i i="1">
      <x v="1"/>
    </i>
  </colItems>
  <pageFields count="1">
    <pageField fld="10" hier="-1"/>
  </pageFields>
  <dataFields count="2">
    <dataField name="Sum of Revenue" fld="8" baseField="0" baseItem="0"/>
    <dataField name="Sum of Units Sold" fld="7" baseField="0" baseItem="0"/>
  </dataFields>
  <chartFormats count="7">
    <chartFormat chart="0"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EE0054-D65D-0E45-80B3-396AD2A2336A}" sourceName="Category">
  <pivotTables>
    <pivotTable tabId="5" name="Month Trend"/>
    <pivotTable tabId="5" name="Region Pivot"/>
    <pivotTable tabId="5" name="Sales Person Pivot"/>
    <pivotTable tabId="5" name="PivotTable2"/>
  </pivotTables>
  <data>
    <tabular pivotCacheId="8468934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C18F5A-D052-C94F-B4DE-8F60356D957A}" sourceName="Region">
  <pivotTables>
    <pivotTable tabId="5" name="Category Pivot"/>
    <pivotTable tabId="5" name="Month Trend"/>
    <pivotTable tabId="5" name="Sales Person Pivot"/>
    <pivotTable tabId="5" name="PivotTable2"/>
  </pivotTables>
  <data>
    <tabular pivotCacheId="846893409">
      <items count="4">
        <i x="0"/>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092A04D-F0F3-CD4C-A671-89E449892AF0}" sourceName="Months (Order Date)">
  <pivotTables>
    <pivotTable tabId="5" name="Region Pivot"/>
    <pivotTable tabId="5" name="Category Pivot"/>
    <pivotTable tabId="5" name="Sales Person Pivot"/>
    <pivotTable tabId="5" name="PivotTable2"/>
  </pivotTables>
  <data>
    <tabular pivotCacheId="84689340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22FBF37-B909-214F-BC88-C1D4ECE91DD7}" cache="Slicer_Category" caption="Category" rowHeight="230716"/>
  <slicer name="Region 1" xr10:uid="{AB9660A5-824B-C54D-A1DF-E6889235CA18}" cache="Slicer_Region" caption="Region" rowHeight="230716"/>
  <slicer name="Months (Order Date)" xr10:uid="{322AF482-1BE1-714D-A9E4-EA459C29CF9F}" cache="Slicer_Months__Order_Date" caption="Months (Order Dat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350AAB2-6B0C-F240-96A7-CF69A5A81756}" cache="Slicer_Category" caption="Category" rowHeight="230716"/>
  <slicer name="Region" xr10:uid="{BEC05583-B752-9D4B-9AEF-9727CD62196C}"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17ED9-0D5D-4D0A-9A78-757FDB662163}" name="data_tab" displayName="data_tab" ref="A1:N1051" totalsRowShown="0">
  <autoFilter ref="A1:N1051" xr:uid="{0BE17ED9-0D5D-4D0A-9A78-757FDB662163}">
    <filterColumn colId="0">
      <filters>
        <dateGroupItem year="2026" month="5" dateTimeGrouping="month"/>
      </filters>
    </filterColumn>
  </autoFilter>
  <tableColumns count="14">
    <tableColumn id="16" xr3:uid="{5167DBD9-1C0B-4BC9-8107-5CEA81F95050}" name="Order Date" dataDxfId="7"/>
    <tableColumn id="11" xr3:uid="{B9FEEEBD-71DB-470E-93F9-E91CACE400E2}" name="Month" dataDxfId="6">
      <calculatedColumnFormula>MONTH(data_tab[[#This Row],[Order Date]])</calculatedColumnFormula>
    </tableColumn>
    <tableColumn id="12" xr3:uid="{91765918-F62E-45B9-90FB-711BA3B95576}" name="Year" dataDxfId="5">
      <calculatedColumnFormula>YEAR(data_tab[[#This Row],[Order Date]])</calculatedColumnFormula>
    </tableColumn>
    <tableColumn id="2" xr3:uid="{22310B28-3360-4F42-BCCE-AE4A6013163B}" name="Product" dataDxfId="4"/>
    <tableColumn id="3" xr3:uid="{7BECBB84-0738-470C-A37A-0FCE29BA486D}" name="Category"/>
    <tableColumn id="4" xr3:uid="{0B95C186-8398-407C-A96E-B6200BF04767}" name="Region"/>
    <tableColumn id="5" xr3:uid="{C2A8288C-757A-4302-9A36-76C454C501C7}" name="Salesperson"/>
    <tableColumn id="6" xr3:uid="{7816F69D-61E1-40DE-87F0-8F65A949A0E3}" name="Units Sold"/>
    <tableColumn id="7" xr3:uid="{A9D0B18E-AF62-4376-A8D4-E6F0DF94734A}" name="Revenue"/>
    <tableColumn id="8" xr3:uid="{9CB00029-F969-4168-9FBD-67A174C21FD9}" name="Cost"/>
    <tableColumn id="10" xr3:uid="{3126102F-CF40-4DEB-888B-3C97D14C9290}" name="Data Status" dataDxfId="3">
      <calculatedColumnFormula>IF(AND(data_tab[[#This Row],[Revenue]]="",data_tab[[#This Row],[Cost]]=""),"Remove",IF(OR(data_tab[[#This Row],[Revenue]]="",data_tab[[#This Row],[Cost]]=""),"Flag","Valid"))</calculatedColumnFormula>
    </tableColumn>
    <tableColumn id="1" xr3:uid="{1EF235A7-0CFA-48C8-BC5F-43103A77EF78}" name="Duplicate Status" dataDxfId="2">
      <calculatedColumnFormula>IF((COUNTIFS(data_tab[Revenue],data_tab[[#This Row],[Revenue]],data_tab[Cost],data_tab[[#This Row],[Cost]]))&gt;1,"Duplicate","Unique")</calculatedColumnFormula>
    </tableColumn>
    <tableColumn id="13" xr3:uid="{8D54C8C8-A1FC-4CE5-A653-51DF6D28E1E6}" name="Profit" dataDxfId="1">
      <calculatedColumnFormula>data_tab[[#This Row],[Revenue]]-data_tab[[#This Row],[Cost]]</calculatedColumnFormula>
    </tableColumn>
    <tableColumn id="9" xr3:uid="{8068207E-4E5D-4AF6-AE15-94D6AD551541}" name="Transaction Type" dataDxfId="0">
      <calculatedColumnFormula>IF(data_tab[[#This Row],[Revenue]]&lt;0,"Return","Sale")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A5B48B-C9BE-4BE7-9154-9E072B3DFF84}" name="Table2" displayName="Table2" ref="P2:Q16" totalsRowShown="0">
  <autoFilter ref="P2:Q16" xr:uid="{04A5B48B-C9BE-4BE7-9154-9E072B3DFF84}"/>
  <tableColumns count="2">
    <tableColumn id="1" xr3:uid="{418CB9DE-3F77-4B41-805D-E2ED51BC629A}" name="Metric"/>
    <tableColumn id="2" xr3:uid="{8B0536E2-2E47-413B-9F8C-E1A9077EF289}" name="Valu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657C-D62A-4716-8936-C0FD900BB189}">
  <dimension ref="A1:Q1051"/>
  <sheetViews>
    <sheetView workbookViewId="0">
      <selection activeCell="B6" sqref="B6"/>
    </sheetView>
  </sheetViews>
  <sheetFormatPr defaultColWidth="8.85546875" defaultRowHeight="15"/>
  <cols>
    <col min="1" max="1" width="18.28515625" customWidth="1"/>
    <col min="2" max="2" width="9.140625" bestFit="1" customWidth="1"/>
    <col min="3" max="3" width="9.140625" customWidth="1"/>
    <col min="4" max="4" width="11.85546875" bestFit="1" customWidth="1"/>
    <col min="5" max="5" width="11.140625" bestFit="1" customWidth="1"/>
    <col min="6" max="6" width="9.28515625" bestFit="1" customWidth="1"/>
    <col min="7" max="7" width="13.85546875" bestFit="1" customWidth="1"/>
    <col min="8" max="8" width="12.140625" bestFit="1" customWidth="1"/>
    <col min="9" max="9" width="10.85546875" bestFit="1" customWidth="1"/>
    <col min="11" max="11" width="13.42578125" bestFit="1" customWidth="1"/>
    <col min="12" max="12" width="17.7109375" bestFit="1" customWidth="1"/>
    <col min="13" max="13" width="18.28515625" bestFit="1" customWidth="1"/>
    <col min="14" max="14" width="18.28515625" customWidth="1"/>
    <col min="15" max="15" width="14.42578125" bestFit="1" customWidth="1"/>
    <col min="16" max="16" width="10.42578125" bestFit="1" customWidth="1"/>
  </cols>
  <sheetData>
    <row r="1" spans="1:17" ht="15.95">
      <c r="A1" s="3" t="s">
        <v>0</v>
      </c>
      <c r="B1" s="2" t="s">
        <v>1</v>
      </c>
      <c r="C1" s="2" t="s">
        <v>2</v>
      </c>
      <c r="D1" t="s">
        <v>3</v>
      </c>
      <c r="E1" t="s">
        <v>4</v>
      </c>
      <c r="F1" t="s">
        <v>5</v>
      </c>
      <c r="G1" t="s">
        <v>6</v>
      </c>
      <c r="H1" t="s">
        <v>7</v>
      </c>
      <c r="I1" t="s">
        <v>8</v>
      </c>
      <c r="J1" t="s">
        <v>9</v>
      </c>
      <c r="K1" t="s">
        <v>10</v>
      </c>
      <c r="L1" s="2" t="s">
        <v>11</v>
      </c>
      <c r="M1" s="2" t="s">
        <v>12</v>
      </c>
      <c r="N1" t="s">
        <v>13</v>
      </c>
    </row>
    <row r="2" spans="1:17" ht="15.95" hidden="1">
      <c r="A2" s="3">
        <v>46186</v>
      </c>
      <c r="B2" s="2">
        <f>MONTH(data_tab[[#This Row],[Order Date]])</f>
        <v>6</v>
      </c>
      <c r="C2" s="2">
        <f>YEAR(data_tab[[#This Row],[Order Date]])</f>
        <v>2026</v>
      </c>
      <c r="D2" t="s">
        <v>14</v>
      </c>
      <c r="E2" t="s">
        <v>15</v>
      </c>
      <c r="F2" t="s">
        <v>16</v>
      </c>
      <c r="G2" t="s">
        <v>17</v>
      </c>
      <c r="H2">
        <v>4</v>
      </c>
      <c r="I2">
        <v>44576</v>
      </c>
      <c r="J2">
        <v>35419.576337029997</v>
      </c>
      <c r="K2" s="2" t="str">
        <f>IF(AND(data_tab[[#This Row],[Revenue]]="",data_tab[[#This Row],[Cost]]=""),"Remove",IF(OR(data_tab[[#This Row],[Revenue]]="",data_tab[[#This Row],[Cost]]=""),"Flag","Valid"))</f>
        <v>Valid</v>
      </c>
      <c r="L2" s="2" t="str">
        <f>IF((COUNTIFS(data_tab[Revenue],data_tab[[#This Row],[Revenue]],data_tab[Cost],data_tab[[#This Row],[Cost]]))&gt;1,"Duplicate","Unique")</f>
        <v>Unique</v>
      </c>
      <c r="M2" s="2">
        <f>data_tab[[#This Row],[Revenue]]-data_tab[[#This Row],[Cost]]</f>
        <v>9156.4236629700026</v>
      </c>
      <c r="N2" t="str">
        <f>IF(data_tab[[#This Row],[Revenue]]&lt;0,"Return","Sale")</f>
        <v>Sale</v>
      </c>
      <c r="P2" t="s">
        <v>18</v>
      </c>
      <c r="Q2" t="s">
        <v>19</v>
      </c>
    </row>
    <row r="3" spans="1:17" hidden="1">
      <c r="A3" s="1">
        <v>46131</v>
      </c>
      <c r="B3">
        <f>MONTH(data_tab[[#This Row],[Order Date]])</f>
        <v>4</v>
      </c>
      <c r="C3">
        <f>YEAR(data_tab[[#This Row],[Order Date]])</f>
        <v>2026</v>
      </c>
      <c r="D3" t="s">
        <v>20</v>
      </c>
      <c r="E3" t="s">
        <v>15</v>
      </c>
      <c r="F3" t="s">
        <v>21</v>
      </c>
      <c r="G3" t="s">
        <v>17</v>
      </c>
      <c r="H3">
        <v>9</v>
      </c>
      <c r="I3">
        <v>373077</v>
      </c>
      <c r="J3">
        <v>190498.48398469799</v>
      </c>
      <c r="K3" t="str">
        <f>IF(AND(data_tab[[#This Row],[Revenue]]="",data_tab[[#This Row],[Cost]]=""),"Remove",IF(OR(data_tab[[#This Row],[Revenue]]="",data_tab[[#This Row],[Cost]]=""),"Flag","Valid"))</f>
        <v>Valid</v>
      </c>
      <c r="L3" t="str">
        <f>IF((COUNTIFS(data_tab[Revenue],data_tab[[#This Row],[Revenue]],data_tab[Cost],data_tab[[#This Row],[Cost]]))&gt;1,"Duplicate","Unique")</f>
        <v>Unique</v>
      </c>
      <c r="M3">
        <f>data_tab[[#This Row],[Revenue]]-data_tab[[#This Row],[Cost]]</f>
        <v>182578.51601530201</v>
      </c>
      <c r="N3" t="str">
        <f>IF(data_tab[[#This Row],[Revenue]]&lt;0,"Return","Sale")</f>
        <v>Sale</v>
      </c>
      <c r="P3" t="s">
        <v>22</v>
      </c>
      <c r="Q3">
        <f>COUNT(data_tab[Order Date])</f>
        <v>1050</v>
      </c>
    </row>
    <row r="4" spans="1:17" hidden="1">
      <c r="A4" s="1">
        <v>46079</v>
      </c>
      <c r="B4">
        <f>MONTH(data_tab[[#This Row],[Order Date]])</f>
        <v>2</v>
      </c>
      <c r="C4">
        <f>YEAR(data_tab[[#This Row],[Order Date]])</f>
        <v>2026</v>
      </c>
      <c r="D4" t="s">
        <v>23</v>
      </c>
      <c r="E4" t="s">
        <v>15</v>
      </c>
      <c r="F4" t="s">
        <v>24</v>
      </c>
      <c r="G4" t="s">
        <v>17</v>
      </c>
      <c r="H4">
        <v>7</v>
      </c>
      <c r="I4">
        <v>170086</v>
      </c>
      <c r="J4">
        <v>103947.810007825</v>
      </c>
      <c r="K4" t="str">
        <f>IF(AND(data_tab[[#This Row],[Revenue]]="",data_tab[[#This Row],[Cost]]=""),"Remove",IF(OR(data_tab[[#This Row],[Revenue]]="",data_tab[[#This Row],[Cost]]=""),"Flag","Valid"))</f>
        <v>Valid</v>
      </c>
      <c r="L4" t="str">
        <f>IF((COUNTIFS(data_tab[Revenue],data_tab[[#This Row],[Revenue]],data_tab[Cost],data_tab[[#This Row],[Cost]]))&gt;1,"Duplicate","Unique")</f>
        <v>Unique</v>
      </c>
      <c r="M4">
        <f>data_tab[[#This Row],[Revenue]]-data_tab[[#This Row],[Cost]]</f>
        <v>66138.189992175001</v>
      </c>
      <c r="N4" t="str">
        <f>IF(data_tab[[#This Row],[Revenue]]&lt;0,"Return","Sale")</f>
        <v>Sale</v>
      </c>
      <c r="P4" t="s">
        <v>25</v>
      </c>
      <c r="Q4">
        <f>COUNTIF(data_tab[Duplicate Status],"Duplicate")</f>
        <v>82</v>
      </c>
    </row>
    <row r="5" spans="1:17" hidden="1">
      <c r="A5" s="1">
        <v>46238</v>
      </c>
      <c r="B5">
        <f>MONTH(data_tab[[#This Row],[Order Date]])</f>
        <v>8</v>
      </c>
      <c r="C5">
        <f>YEAR(data_tab[[#This Row],[Order Date]])</f>
        <v>2026</v>
      </c>
      <c r="D5" t="s">
        <v>23</v>
      </c>
      <c r="E5" t="s">
        <v>15</v>
      </c>
      <c r="F5" t="s">
        <v>16</v>
      </c>
      <c r="G5" t="s">
        <v>26</v>
      </c>
      <c r="H5">
        <v>5</v>
      </c>
      <c r="I5">
        <v>24235</v>
      </c>
      <c r="J5">
        <v>19191.519940209801</v>
      </c>
      <c r="K5" t="str">
        <f>IF(AND(data_tab[[#This Row],[Revenue]]="",data_tab[[#This Row],[Cost]]=""),"Remove",IF(OR(data_tab[[#This Row],[Revenue]]="",data_tab[[#This Row],[Cost]]=""),"Flag","Valid"))</f>
        <v>Valid</v>
      </c>
      <c r="L5" t="str">
        <f>IF((COUNTIFS(data_tab[Revenue],data_tab[[#This Row],[Revenue]],data_tab[Cost],data_tab[[#This Row],[Cost]]))&gt;1,"Duplicate","Unique")</f>
        <v>Unique</v>
      </c>
      <c r="M5">
        <f>data_tab[[#This Row],[Revenue]]-data_tab[[#This Row],[Cost]]</f>
        <v>5043.4800597901994</v>
      </c>
      <c r="N5" t="str">
        <f>IF(data_tab[[#This Row],[Revenue]]&lt;0,"Return","Sale")</f>
        <v>Sale</v>
      </c>
      <c r="P5" t="s">
        <v>27</v>
      </c>
      <c r="Q5">
        <f>COUNTIF(data_tab[Data Status],"Flag")</f>
        <v>111</v>
      </c>
    </row>
    <row r="6" spans="1:17">
      <c r="A6" s="1">
        <v>46164</v>
      </c>
      <c r="B6">
        <f>MONTH(data_tab[[#This Row],[Order Date]])</f>
        <v>5</v>
      </c>
      <c r="C6">
        <f>YEAR(data_tab[[#This Row],[Order Date]])</f>
        <v>2026</v>
      </c>
      <c r="D6" t="s">
        <v>23</v>
      </c>
      <c r="E6" t="s">
        <v>15</v>
      </c>
      <c r="F6" t="s">
        <v>16</v>
      </c>
      <c r="G6" t="s">
        <v>26</v>
      </c>
      <c r="H6">
        <v>4</v>
      </c>
      <c r="I6">
        <v>192696</v>
      </c>
      <c r="J6">
        <v>101709.199583095</v>
      </c>
      <c r="K6" t="str">
        <f>IF(AND(data_tab[[#This Row],[Revenue]]="",data_tab[[#This Row],[Cost]]=""),"Remove",IF(OR(data_tab[[#This Row],[Revenue]]="",data_tab[[#This Row],[Cost]]=""),"Flag","Valid"))</f>
        <v>Valid</v>
      </c>
      <c r="L6" t="str">
        <f>IF((COUNTIFS(data_tab[Revenue],data_tab[[#This Row],[Revenue]],data_tab[Cost],data_tab[[#This Row],[Cost]]))&gt;1,"Duplicate","Unique")</f>
        <v>Unique</v>
      </c>
      <c r="M6">
        <f>data_tab[[#This Row],[Revenue]]-data_tab[[#This Row],[Cost]]</f>
        <v>90986.800416904996</v>
      </c>
      <c r="N6" t="str">
        <f>IF(data_tab[[#This Row],[Revenue]]&lt;0,"Return","Sale")</f>
        <v>Sale</v>
      </c>
      <c r="P6" t="s">
        <v>28</v>
      </c>
      <c r="Q6">
        <f>COUNTIF(data_tab[Data Status],"Remove")</f>
        <v>2</v>
      </c>
    </row>
    <row r="7" spans="1:17" hidden="1">
      <c r="A7" s="1">
        <v>46082</v>
      </c>
      <c r="B7">
        <f>MONTH(data_tab[[#This Row],[Order Date]])</f>
        <v>3</v>
      </c>
      <c r="C7">
        <f>YEAR(data_tab[[#This Row],[Order Date]])</f>
        <v>2026</v>
      </c>
      <c r="D7" t="s">
        <v>29</v>
      </c>
      <c r="E7" t="s">
        <v>15</v>
      </c>
      <c r="F7" t="s">
        <v>16</v>
      </c>
      <c r="G7" t="s">
        <v>17</v>
      </c>
      <c r="H7">
        <v>6</v>
      </c>
      <c r="I7">
        <v>151698</v>
      </c>
      <c r="J7">
        <v>88561.719021589204</v>
      </c>
      <c r="K7" t="str">
        <f>IF(AND(data_tab[[#This Row],[Revenue]]="",data_tab[[#This Row],[Cost]]=""),"Remove",IF(OR(data_tab[[#This Row],[Revenue]]="",data_tab[[#This Row],[Cost]]=""),"Flag","Valid"))</f>
        <v>Valid</v>
      </c>
      <c r="L7" t="str">
        <f>IF((COUNTIFS(data_tab[Revenue],data_tab[[#This Row],[Revenue]],data_tab[Cost],data_tab[[#This Row],[Cost]]))&gt;1,"Duplicate","Unique")</f>
        <v>Unique</v>
      </c>
      <c r="M7">
        <f>data_tab[[#This Row],[Revenue]]-data_tab[[#This Row],[Cost]]</f>
        <v>63136.280978410796</v>
      </c>
      <c r="N7" t="str">
        <f>IF(data_tab[[#This Row],[Revenue]]&lt;0,"Return","Sale")</f>
        <v>Sale</v>
      </c>
      <c r="P7" t="s">
        <v>30</v>
      </c>
      <c r="Q7">
        <f>COUNTIF(data_tab[Duplicate Status],"Unique")</f>
        <v>968</v>
      </c>
    </row>
    <row r="8" spans="1:17" hidden="1">
      <c r="A8" s="1">
        <v>46178</v>
      </c>
      <c r="B8">
        <f>MONTH(data_tab[[#This Row],[Order Date]])</f>
        <v>6</v>
      </c>
      <c r="C8">
        <f>YEAR(data_tab[[#This Row],[Order Date]])</f>
        <v>2026</v>
      </c>
      <c r="D8" t="s">
        <v>31</v>
      </c>
      <c r="E8" t="s">
        <v>32</v>
      </c>
      <c r="F8" t="s">
        <v>21</v>
      </c>
      <c r="G8" t="s">
        <v>33</v>
      </c>
      <c r="H8">
        <v>7</v>
      </c>
      <c r="I8">
        <v>137837</v>
      </c>
      <c r="J8">
        <v>123475.67203267801</v>
      </c>
      <c r="K8" t="str">
        <f>IF(AND(data_tab[[#This Row],[Revenue]]="",data_tab[[#This Row],[Cost]]=""),"Remove",IF(OR(data_tab[[#This Row],[Revenue]]="",data_tab[[#This Row],[Cost]]=""),"Flag","Valid"))</f>
        <v>Valid</v>
      </c>
      <c r="L8" t="str">
        <f>IF((COUNTIFS(data_tab[Revenue],data_tab[[#This Row],[Revenue]],data_tab[Cost],data_tab[[#This Row],[Cost]]))&gt;1,"Duplicate","Unique")</f>
        <v>Unique</v>
      </c>
      <c r="M8">
        <f>data_tab[[#This Row],[Revenue]]-data_tab[[#This Row],[Cost]]</f>
        <v>14361.327967321995</v>
      </c>
      <c r="N8" t="str">
        <f>IF(data_tab[[#This Row],[Revenue]]&lt;0,"Return","Sale")</f>
        <v>Sale</v>
      </c>
      <c r="P8" t="s">
        <v>34</v>
      </c>
      <c r="Q8">
        <f>COUNTIF(data_tab[Transaction Type],"Sale")</f>
        <v>1023</v>
      </c>
    </row>
    <row r="9" spans="1:17" hidden="1">
      <c r="A9" s="1">
        <v>46037</v>
      </c>
      <c r="B9">
        <f>MONTH(data_tab[[#This Row],[Order Date]])</f>
        <v>1</v>
      </c>
      <c r="C9">
        <f>YEAR(data_tab[[#This Row],[Order Date]])</f>
        <v>2026</v>
      </c>
      <c r="D9" t="s">
        <v>35</v>
      </c>
      <c r="E9" t="s">
        <v>32</v>
      </c>
      <c r="F9" t="s">
        <v>36</v>
      </c>
      <c r="G9" t="s">
        <v>37</v>
      </c>
      <c r="H9">
        <v>2</v>
      </c>
      <c r="I9">
        <v>31652</v>
      </c>
      <c r="J9">
        <v>27387.033841088301</v>
      </c>
      <c r="K9" t="str">
        <f>IF(AND(data_tab[[#This Row],[Revenue]]="",data_tab[[#This Row],[Cost]]=""),"Remove",IF(OR(data_tab[[#This Row],[Revenue]]="",data_tab[[#This Row],[Cost]]=""),"Flag","Valid"))</f>
        <v>Valid</v>
      </c>
      <c r="L9" t="str">
        <f>IF((COUNTIFS(data_tab[Revenue],data_tab[[#This Row],[Revenue]],data_tab[Cost],data_tab[[#This Row],[Cost]]))&gt;1,"Duplicate","Unique")</f>
        <v>Unique</v>
      </c>
      <c r="M9">
        <f>data_tab[[#This Row],[Revenue]]-data_tab[[#This Row],[Cost]]</f>
        <v>4264.9661589116986</v>
      </c>
      <c r="N9" t="str">
        <f>IF(data_tab[[#This Row],[Revenue]]&lt;0,"Return","Sale")</f>
        <v>Sale</v>
      </c>
      <c r="P9" t="s">
        <v>38</v>
      </c>
      <c r="Q9">
        <f>COUNTIF(data_tab[Transaction Type],"Return")</f>
        <v>27</v>
      </c>
    </row>
    <row r="10" spans="1:17">
      <c r="A10" s="1">
        <v>46150</v>
      </c>
      <c r="B10">
        <f>MONTH(data_tab[[#This Row],[Order Date]])</f>
        <v>5</v>
      </c>
      <c r="C10">
        <f>YEAR(data_tab[[#This Row],[Order Date]])</f>
        <v>2026</v>
      </c>
      <c r="D10" t="s">
        <v>29</v>
      </c>
      <c r="E10" t="s">
        <v>15</v>
      </c>
      <c r="F10" t="s">
        <v>21</v>
      </c>
      <c r="G10" t="s">
        <v>37</v>
      </c>
      <c r="H10">
        <v>3</v>
      </c>
      <c r="I10">
        <v>54486</v>
      </c>
      <c r="J10">
        <v>43479.587871297299</v>
      </c>
      <c r="K10" t="str">
        <f>IF(AND(data_tab[[#This Row],[Revenue]]="",data_tab[[#This Row],[Cost]]=""),"Remove",IF(OR(data_tab[[#This Row],[Revenue]]="",data_tab[[#This Row],[Cost]]=""),"Flag","Valid"))</f>
        <v>Valid</v>
      </c>
      <c r="L10" t="str">
        <f>IF((COUNTIFS(data_tab[Revenue],data_tab[[#This Row],[Revenue]],data_tab[Cost],data_tab[[#This Row],[Cost]]))&gt;1,"Duplicate","Unique")</f>
        <v>Unique</v>
      </c>
      <c r="M10">
        <f>data_tab[[#This Row],[Revenue]]-data_tab[[#This Row],[Cost]]</f>
        <v>11006.412128702701</v>
      </c>
      <c r="N10" t="str">
        <f>IF(data_tab[[#This Row],[Revenue]]&lt;0,"Return","Sale")</f>
        <v>Sale</v>
      </c>
    </row>
    <row r="11" spans="1:17">
      <c r="A11" s="1">
        <v>46172</v>
      </c>
      <c r="B11">
        <f>MONTH(data_tab[[#This Row],[Order Date]])</f>
        <v>5</v>
      </c>
      <c r="C11">
        <f>YEAR(data_tab[[#This Row],[Order Date]])</f>
        <v>2026</v>
      </c>
      <c r="D11" t="s">
        <v>31</v>
      </c>
      <c r="E11" t="s">
        <v>32</v>
      </c>
      <c r="F11" t="s">
        <v>36</v>
      </c>
      <c r="G11" t="s">
        <v>39</v>
      </c>
      <c r="H11">
        <v>1</v>
      </c>
      <c r="I11">
        <v>9185</v>
      </c>
      <c r="J11">
        <v>5154.0390072855098</v>
      </c>
      <c r="K11" t="str">
        <f>IF(AND(data_tab[[#This Row],[Revenue]]="",data_tab[[#This Row],[Cost]]=""),"Remove",IF(OR(data_tab[[#This Row],[Revenue]]="",data_tab[[#This Row],[Cost]]=""),"Flag","Valid"))</f>
        <v>Valid</v>
      </c>
      <c r="L11" t="str">
        <f>IF((COUNTIFS(data_tab[Revenue],data_tab[[#This Row],[Revenue]],data_tab[Cost],data_tab[[#This Row],[Cost]]))&gt;1,"Duplicate","Unique")</f>
        <v>Unique</v>
      </c>
      <c r="M11">
        <f>data_tab[[#This Row],[Revenue]]-data_tab[[#This Row],[Cost]]</f>
        <v>4030.9609927144902</v>
      </c>
      <c r="N11" t="str">
        <f>IF(data_tab[[#This Row],[Revenue]]&lt;0,"Return","Sale")</f>
        <v>Sale</v>
      </c>
    </row>
    <row r="12" spans="1:17" hidden="1">
      <c r="A12" s="1">
        <v>46121</v>
      </c>
      <c r="B12">
        <f>MONTH(data_tab[[#This Row],[Order Date]])</f>
        <v>4</v>
      </c>
      <c r="C12">
        <f>YEAR(data_tab[[#This Row],[Order Date]])</f>
        <v>2026</v>
      </c>
      <c r="D12" t="s">
        <v>40</v>
      </c>
      <c r="E12" t="s">
        <v>15</v>
      </c>
      <c r="F12" t="s">
        <v>16</v>
      </c>
      <c r="G12" t="s">
        <v>26</v>
      </c>
      <c r="H12">
        <v>1</v>
      </c>
      <c r="I12">
        <v>46583</v>
      </c>
      <c r="J12">
        <v>36720.853804502302</v>
      </c>
      <c r="K12" t="str">
        <f>IF(AND(data_tab[[#This Row],[Revenue]]="",data_tab[[#This Row],[Cost]]=""),"Remove",IF(OR(data_tab[[#This Row],[Revenue]]="",data_tab[[#This Row],[Cost]]=""),"Flag","Valid"))</f>
        <v>Valid</v>
      </c>
      <c r="L12" t="str">
        <f>IF((COUNTIFS(data_tab[Revenue],data_tab[[#This Row],[Revenue]],data_tab[Cost],data_tab[[#This Row],[Cost]]))&gt;1,"Duplicate","Unique")</f>
        <v>Unique</v>
      </c>
      <c r="M12">
        <f>data_tab[[#This Row],[Revenue]]-data_tab[[#This Row],[Cost]]</f>
        <v>9862.1461954976985</v>
      </c>
      <c r="N12" t="str">
        <f>IF(data_tab[[#This Row],[Revenue]]&lt;0,"Return","Sale")</f>
        <v>Sale</v>
      </c>
    </row>
    <row r="13" spans="1:17" hidden="1">
      <c r="A13" s="1">
        <v>46187</v>
      </c>
      <c r="B13">
        <f>MONTH(data_tab[[#This Row],[Order Date]])</f>
        <v>6</v>
      </c>
      <c r="C13">
        <f>YEAR(data_tab[[#This Row],[Order Date]])</f>
        <v>2026</v>
      </c>
      <c r="D13" t="s">
        <v>31</v>
      </c>
      <c r="E13" t="s">
        <v>32</v>
      </c>
      <c r="F13" t="s">
        <v>36</v>
      </c>
      <c r="G13" t="s">
        <v>39</v>
      </c>
      <c r="H13">
        <v>5</v>
      </c>
      <c r="I13">
        <v>174030</v>
      </c>
      <c r="J13">
        <v>140056.71260041199</v>
      </c>
      <c r="K13" t="str">
        <f>IF(AND(data_tab[[#This Row],[Revenue]]="",data_tab[[#This Row],[Cost]]=""),"Remove",IF(OR(data_tab[[#This Row],[Revenue]]="",data_tab[[#This Row],[Cost]]=""),"Flag","Valid"))</f>
        <v>Valid</v>
      </c>
      <c r="L13" t="str">
        <f>IF((COUNTIFS(data_tab[Revenue],data_tab[[#This Row],[Revenue]],data_tab[Cost],data_tab[[#This Row],[Cost]]))&gt;1,"Duplicate","Unique")</f>
        <v>Unique</v>
      </c>
      <c r="M13">
        <f>data_tab[[#This Row],[Revenue]]-data_tab[[#This Row],[Cost]]</f>
        <v>33973.287399588007</v>
      </c>
      <c r="N13" t="str">
        <f>IF(data_tab[[#This Row],[Revenue]]&lt;0,"Return","Sale")</f>
        <v>Sale</v>
      </c>
    </row>
    <row r="14" spans="1:17" hidden="1">
      <c r="A14" s="1">
        <v>46186</v>
      </c>
      <c r="B14">
        <f>MONTH(data_tab[[#This Row],[Order Date]])</f>
        <v>6</v>
      </c>
      <c r="C14">
        <f>YEAR(data_tab[[#This Row],[Order Date]])</f>
        <v>2026</v>
      </c>
      <c r="D14" t="s">
        <v>35</v>
      </c>
      <c r="E14" t="s">
        <v>32</v>
      </c>
      <c r="F14" t="s">
        <v>21</v>
      </c>
      <c r="G14" t="s">
        <v>26</v>
      </c>
      <c r="H14">
        <v>9</v>
      </c>
      <c r="I14">
        <v>18333</v>
      </c>
      <c r="J14">
        <v>13558.6804267637</v>
      </c>
      <c r="K14" t="str">
        <f>IF(AND(data_tab[[#This Row],[Revenue]]="",data_tab[[#This Row],[Cost]]=""),"Remove",IF(OR(data_tab[[#This Row],[Revenue]]="",data_tab[[#This Row],[Cost]]=""),"Flag","Valid"))</f>
        <v>Valid</v>
      </c>
      <c r="L14" t="str">
        <f>IF((COUNTIFS(data_tab[Revenue],data_tab[[#This Row],[Revenue]],data_tab[Cost],data_tab[[#This Row],[Cost]]))&gt;1,"Duplicate","Unique")</f>
        <v>Unique</v>
      </c>
      <c r="M14">
        <f>data_tab[[#This Row],[Revenue]]-data_tab[[#This Row],[Cost]]</f>
        <v>4774.3195732363001</v>
      </c>
      <c r="N14" t="str">
        <f>IF(data_tab[[#This Row],[Revenue]]&lt;0,"Return","Sale")</f>
        <v>Sale</v>
      </c>
    </row>
    <row r="15" spans="1:17" hidden="1">
      <c r="A15" s="1">
        <v>46101</v>
      </c>
      <c r="B15">
        <f>MONTH(data_tab[[#This Row],[Order Date]])</f>
        <v>3</v>
      </c>
      <c r="C15">
        <f>YEAR(data_tab[[#This Row],[Order Date]])</f>
        <v>2026</v>
      </c>
      <c r="D15" t="s">
        <v>40</v>
      </c>
      <c r="E15" t="s">
        <v>15</v>
      </c>
      <c r="F15" t="s">
        <v>24</v>
      </c>
      <c r="G15" t="s">
        <v>39</v>
      </c>
      <c r="H15">
        <v>8</v>
      </c>
      <c r="I15">
        <v>52280</v>
      </c>
      <c r="J15">
        <v>46591.611731780402</v>
      </c>
      <c r="K15" t="str">
        <f>IF(AND(data_tab[[#This Row],[Revenue]]="",data_tab[[#This Row],[Cost]]=""),"Remove",IF(OR(data_tab[[#This Row],[Revenue]]="",data_tab[[#This Row],[Cost]]=""),"Flag","Valid"))</f>
        <v>Valid</v>
      </c>
      <c r="L15" t="str">
        <f>IF((COUNTIFS(data_tab[Revenue],data_tab[[#This Row],[Revenue]],data_tab[Cost],data_tab[[#This Row],[Cost]]))&gt;1,"Duplicate","Unique")</f>
        <v>Unique</v>
      </c>
      <c r="M15">
        <f>data_tab[[#This Row],[Revenue]]-data_tab[[#This Row],[Cost]]</f>
        <v>5688.3882682195981</v>
      </c>
      <c r="N15" t="str">
        <f>IF(data_tab[[#This Row],[Revenue]]&lt;0,"Return","Sale")</f>
        <v>Sale</v>
      </c>
    </row>
    <row r="16" spans="1:17">
      <c r="A16" s="1">
        <v>46163</v>
      </c>
      <c r="B16">
        <f>MONTH(data_tab[[#This Row],[Order Date]])</f>
        <v>5</v>
      </c>
      <c r="C16">
        <f>YEAR(data_tab[[#This Row],[Order Date]])</f>
        <v>2026</v>
      </c>
      <c r="D16" t="s">
        <v>40</v>
      </c>
      <c r="E16" t="s">
        <v>15</v>
      </c>
      <c r="F16" t="s">
        <v>36</v>
      </c>
      <c r="G16" t="s">
        <v>17</v>
      </c>
      <c r="H16">
        <v>9</v>
      </c>
      <c r="I16">
        <v>448524</v>
      </c>
      <c r="J16">
        <v>348030.87592794001</v>
      </c>
      <c r="K16" t="str">
        <f>IF(AND(data_tab[[#This Row],[Revenue]]="",data_tab[[#This Row],[Cost]]=""),"Remove",IF(OR(data_tab[[#This Row],[Revenue]]="",data_tab[[#This Row],[Cost]]=""),"Flag","Valid"))</f>
        <v>Valid</v>
      </c>
      <c r="L16" t="str">
        <f>IF((COUNTIFS(data_tab[Revenue],data_tab[[#This Row],[Revenue]],data_tab[Cost],data_tab[[#This Row],[Cost]]))&gt;1,"Duplicate","Unique")</f>
        <v>Unique</v>
      </c>
      <c r="M16">
        <f>data_tab[[#This Row],[Revenue]]-data_tab[[#This Row],[Cost]]</f>
        <v>100493.12407205999</v>
      </c>
      <c r="N16" t="str">
        <f>IF(data_tab[[#This Row],[Revenue]]&lt;0,"Return","Sale")</f>
        <v>Sale</v>
      </c>
    </row>
    <row r="17" spans="1:14" hidden="1">
      <c r="A17" s="1">
        <v>46118</v>
      </c>
      <c r="B17">
        <f>MONTH(data_tab[[#This Row],[Order Date]])</f>
        <v>4</v>
      </c>
      <c r="C17">
        <f>YEAR(data_tab[[#This Row],[Order Date]])</f>
        <v>2026</v>
      </c>
      <c r="D17" t="s">
        <v>20</v>
      </c>
      <c r="E17" t="s">
        <v>15</v>
      </c>
      <c r="F17" t="s">
        <v>21</v>
      </c>
      <c r="G17" t="s">
        <v>17</v>
      </c>
      <c r="H17">
        <v>2</v>
      </c>
      <c r="I17">
        <v>-48312</v>
      </c>
      <c r="J17">
        <v>24562.482867784402</v>
      </c>
      <c r="K17" t="str">
        <f>IF(AND(data_tab[[#This Row],[Revenue]]="",data_tab[[#This Row],[Cost]]=""),"Remove",IF(OR(data_tab[[#This Row],[Revenue]]="",data_tab[[#This Row],[Cost]]=""),"Flag","Valid"))</f>
        <v>Valid</v>
      </c>
      <c r="L17" t="str">
        <f>IF((COUNTIFS(data_tab[Revenue],data_tab[[#This Row],[Revenue]],data_tab[Cost],data_tab[[#This Row],[Cost]]))&gt;1,"Duplicate","Unique")</f>
        <v>Unique</v>
      </c>
      <c r="M17">
        <f>data_tab[[#This Row],[Revenue]]-data_tab[[#This Row],[Cost]]</f>
        <v>-72874.482867784405</v>
      </c>
      <c r="N17" t="str">
        <f>IF(data_tab[[#This Row],[Revenue]]&lt;0,"Return","Sale")</f>
        <v>Return</v>
      </c>
    </row>
    <row r="18" spans="1:14" hidden="1">
      <c r="A18" s="1">
        <v>46332</v>
      </c>
      <c r="B18">
        <f>MONTH(data_tab[[#This Row],[Order Date]])</f>
        <v>11</v>
      </c>
      <c r="C18">
        <f>YEAR(data_tab[[#This Row],[Order Date]])</f>
        <v>2026</v>
      </c>
      <c r="D18" t="s">
        <v>20</v>
      </c>
      <c r="E18" t="s">
        <v>15</v>
      </c>
      <c r="F18" t="s">
        <v>24</v>
      </c>
      <c r="G18" t="s">
        <v>37</v>
      </c>
      <c r="H18">
        <v>2</v>
      </c>
      <c r="I18">
        <v>71390</v>
      </c>
      <c r="J18">
        <v>42491.460339040997</v>
      </c>
      <c r="K18" t="str">
        <f>IF(AND(data_tab[[#This Row],[Revenue]]="",data_tab[[#This Row],[Cost]]=""),"Remove",IF(OR(data_tab[[#This Row],[Revenue]]="",data_tab[[#This Row],[Cost]]=""),"Flag","Valid"))</f>
        <v>Valid</v>
      </c>
      <c r="L18" t="str">
        <f>IF((COUNTIFS(data_tab[Revenue],data_tab[[#This Row],[Revenue]],data_tab[Cost],data_tab[[#This Row],[Cost]]))&gt;1,"Duplicate","Unique")</f>
        <v>Unique</v>
      </c>
      <c r="M18">
        <f>data_tab[[#This Row],[Revenue]]-data_tab[[#This Row],[Cost]]</f>
        <v>28898.539660959003</v>
      </c>
      <c r="N18" t="str">
        <f>IF(data_tab[[#This Row],[Revenue]]&lt;0,"Return","Sale")</f>
        <v>Sale</v>
      </c>
    </row>
    <row r="19" spans="1:14">
      <c r="A19" s="1">
        <v>46169</v>
      </c>
      <c r="B19">
        <f>MONTH(data_tab[[#This Row],[Order Date]])</f>
        <v>5</v>
      </c>
      <c r="C19">
        <f>YEAR(data_tab[[#This Row],[Order Date]])</f>
        <v>2026</v>
      </c>
      <c r="D19" t="s">
        <v>29</v>
      </c>
      <c r="E19" t="s">
        <v>15</v>
      </c>
      <c r="F19" t="s">
        <v>36</v>
      </c>
      <c r="G19" t="s">
        <v>17</v>
      </c>
      <c r="H19">
        <v>2</v>
      </c>
      <c r="I19">
        <v>16704</v>
      </c>
      <c r="J19">
        <v>12755.0591391571</v>
      </c>
      <c r="K19" t="str">
        <f>IF(AND(data_tab[[#This Row],[Revenue]]="",data_tab[[#This Row],[Cost]]=""),"Remove",IF(OR(data_tab[[#This Row],[Revenue]]="",data_tab[[#This Row],[Cost]]=""),"Flag","Valid"))</f>
        <v>Valid</v>
      </c>
      <c r="L19" t="str">
        <f>IF((COUNTIFS(data_tab[Revenue],data_tab[[#This Row],[Revenue]],data_tab[Cost],data_tab[[#This Row],[Cost]]))&gt;1,"Duplicate","Unique")</f>
        <v>Unique</v>
      </c>
      <c r="M19">
        <f>data_tab[[#This Row],[Revenue]]-data_tab[[#This Row],[Cost]]</f>
        <v>3948.9408608429003</v>
      </c>
      <c r="N19" t="str">
        <f>IF(data_tab[[#This Row],[Revenue]]&lt;0,"Return","Sale")</f>
        <v>Sale</v>
      </c>
    </row>
    <row r="20" spans="1:14" hidden="1">
      <c r="A20" s="1">
        <v>46036</v>
      </c>
      <c r="B20">
        <f>MONTH(data_tab[[#This Row],[Order Date]])</f>
        <v>1</v>
      </c>
      <c r="C20">
        <f>YEAR(data_tab[[#This Row],[Order Date]])</f>
        <v>2026</v>
      </c>
      <c r="D20" t="s">
        <v>20</v>
      </c>
      <c r="E20" t="s">
        <v>15</v>
      </c>
      <c r="F20" t="s">
        <v>24</v>
      </c>
      <c r="G20" t="s">
        <v>33</v>
      </c>
      <c r="H20">
        <v>6</v>
      </c>
      <c r="I20">
        <v>54966</v>
      </c>
      <c r="J20">
        <v>32950.057620104897</v>
      </c>
      <c r="K20" t="str">
        <f>IF(AND(data_tab[[#This Row],[Revenue]]="",data_tab[[#This Row],[Cost]]=""),"Remove",IF(OR(data_tab[[#This Row],[Revenue]]="",data_tab[[#This Row],[Cost]]=""),"Flag","Valid"))</f>
        <v>Valid</v>
      </c>
      <c r="L20" t="str">
        <f>IF((COUNTIFS(data_tab[Revenue],data_tab[[#This Row],[Revenue]],data_tab[Cost],data_tab[[#This Row],[Cost]]))&gt;1,"Duplicate","Unique")</f>
        <v>Unique</v>
      </c>
      <c r="M20">
        <f>data_tab[[#This Row],[Revenue]]-data_tab[[#This Row],[Cost]]</f>
        <v>22015.942379895103</v>
      </c>
      <c r="N20" t="str">
        <f>IF(data_tab[[#This Row],[Revenue]]&lt;0,"Return","Sale")</f>
        <v>Sale</v>
      </c>
    </row>
    <row r="21" spans="1:14" hidden="1">
      <c r="A21" s="1">
        <v>46094</v>
      </c>
      <c r="B21">
        <f>MONTH(data_tab[[#This Row],[Order Date]])</f>
        <v>3</v>
      </c>
      <c r="C21">
        <f>YEAR(data_tab[[#This Row],[Order Date]])</f>
        <v>2026</v>
      </c>
      <c r="D21" t="s">
        <v>20</v>
      </c>
      <c r="E21" t="s">
        <v>15</v>
      </c>
      <c r="F21" t="s">
        <v>36</v>
      </c>
      <c r="G21" t="s">
        <v>26</v>
      </c>
      <c r="H21">
        <v>2</v>
      </c>
      <c r="I21">
        <v>10630</v>
      </c>
      <c r="K21" t="str">
        <f>IF(AND(data_tab[[#This Row],[Revenue]]="",data_tab[[#This Row],[Cost]]=""),"Remove",IF(OR(data_tab[[#This Row],[Revenue]]="",data_tab[[#This Row],[Cost]]=""),"Flag","Valid"))</f>
        <v>Flag</v>
      </c>
      <c r="L21" t="str">
        <f>IF((COUNTIFS(data_tab[Revenue],data_tab[[#This Row],[Revenue]],data_tab[Cost],data_tab[[#This Row],[Cost]]))&gt;1,"Duplicate","Unique")</f>
        <v>Unique</v>
      </c>
      <c r="M21">
        <f>data_tab[[#This Row],[Revenue]]-data_tab[[#This Row],[Cost]]</f>
        <v>10630</v>
      </c>
      <c r="N21" t="str">
        <f>IF(data_tab[[#This Row],[Revenue]]&lt;0,"Return","Sale")</f>
        <v>Sale</v>
      </c>
    </row>
    <row r="22" spans="1:14" hidden="1">
      <c r="A22" s="1">
        <v>46056</v>
      </c>
      <c r="B22">
        <f>MONTH(data_tab[[#This Row],[Order Date]])</f>
        <v>2</v>
      </c>
      <c r="C22">
        <f>YEAR(data_tab[[#This Row],[Order Date]])</f>
        <v>2026</v>
      </c>
      <c r="D22" t="s">
        <v>29</v>
      </c>
      <c r="E22" t="s">
        <v>15</v>
      </c>
      <c r="F22" t="s">
        <v>36</v>
      </c>
      <c r="G22" t="s">
        <v>17</v>
      </c>
      <c r="H22">
        <v>7</v>
      </c>
      <c r="J22">
        <v>23140.0681770376</v>
      </c>
      <c r="K22" t="str">
        <f>IF(AND(data_tab[[#This Row],[Revenue]]="",data_tab[[#This Row],[Cost]]=""),"Remove",IF(OR(data_tab[[#This Row],[Revenue]]="",data_tab[[#This Row],[Cost]]=""),"Flag","Valid"))</f>
        <v>Flag</v>
      </c>
      <c r="L22" t="str">
        <f>IF((COUNTIFS(data_tab[Revenue],data_tab[[#This Row],[Revenue]],data_tab[Cost],data_tab[[#This Row],[Cost]]))&gt;1,"Duplicate","Unique")</f>
        <v>Unique</v>
      </c>
      <c r="M22">
        <f>data_tab[[#This Row],[Revenue]]-data_tab[[#This Row],[Cost]]</f>
        <v>-23140.0681770376</v>
      </c>
      <c r="N22" t="str">
        <f>IF(data_tab[[#This Row],[Revenue]]&lt;0,"Return","Sale")</f>
        <v>Sale</v>
      </c>
    </row>
    <row r="23" spans="1:14" hidden="1">
      <c r="A23" s="1">
        <v>46139</v>
      </c>
      <c r="B23">
        <f>MONTH(data_tab[[#This Row],[Order Date]])</f>
        <v>4</v>
      </c>
      <c r="C23">
        <f>YEAR(data_tab[[#This Row],[Order Date]])</f>
        <v>2026</v>
      </c>
      <c r="D23" t="s">
        <v>14</v>
      </c>
      <c r="E23" t="s">
        <v>15</v>
      </c>
      <c r="F23" t="s">
        <v>36</v>
      </c>
      <c r="G23" t="s">
        <v>17</v>
      </c>
      <c r="H23">
        <v>4</v>
      </c>
      <c r="I23">
        <v>85780</v>
      </c>
      <c r="J23">
        <v>50359.753226387103</v>
      </c>
      <c r="K23" t="str">
        <f>IF(AND(data_tab[[#This Row],[Revenue]]="",data_tab[[#This Row],[Cost]]=""),"Remove",IF(OR(data_tab[[#This Row],[Revenue]]="",data_tab[[#This Row],[Cost]]=""),"Flag","Valid"))</f>
        <v>Valid</v>
      </c>
      <c r="L23" t="str">
        <f>IF((COUNTIFS(data_tab[Revenue],data_tab[[#This Row],[Revenue]],data_tab[Cost],data_tab[[#This Row],[Cost]]))&gt;1,"Duplicate","Unique")</f>
        <v>Unique</v>
      </c>
      <c r="M23">
        <f>data_tab[[#This Row],[Revenue]]-data_tab[[#This Row],[Cost]]</f>
        <v>35420.246773612897</v>
      </c>
      <c r="N23" t="str">
        <f>IF(data_tab[[#This Row],[Revenue]]&lt;0,"Return","Sale")</f>
        <v>Sale</v>
      </c>
    </row>
    <row r="24" spans="1:14" hidden="1">
      <c r="A24" s="1">
        <v>46103</v>
      </c>
      <c r="B24">
        <f>MONTH(data_tab[[#This Row],[Order Date]])</f>
        <v>3</v>
      </c>
      <c r="C24">
        <f>YEAR(data_tab[[#This Row],[Order Date]])</f>
        <v>2026</v>
      </c>
      <c r="D24" t="s">
        <v>40</v>
      </c>
      <c r="E24" t="s">
        <v>15</v>
      </c>
      <c r="F24" t="s">
        <v>36</v>
      </c>
      <c r="G24" t="s">
        <v>26</v>
      </c>
      <c r="H24">
        <v>9</v>
      </c>
      <c r="I24">
        <v>110853</v>
      </c>
      <c r="J24">
        <v>57948.608820665497</v>
      </c>
      <c r="K24" t="str">
        <f>IF(AND(data_tab[[#This Row],[Revenue]]="",data_tab[[#This Row],[Cost]]=""),"Remove",IF(OR(data_tab[[#This Row],[Revenue]]="",data_tab[[#This Row],[Cost]]=""),"Flag","Valid"))</f>
        <v>Valid</v>
      </c>
      <c r="L24" t="str">
        <f>IF((COUNTIFS(data_tab[Revenue],data_tab[[#This Row],[Revenue]],data_tab[Cost],data_tab[[#This Row],[Cost]]))&gt;1,"Duplicate","Unique")</f>
        <v>Unique</v>
      </c>
      <c r="M24">
        <f>data_tab[[#This Row],[Revenue]]-data_tab[[#This Row],[Cost]]</f>
        <v>52904.391179334503</v>
      </c>
      <c r="N24" t="str">
        <f>IF(data_tab[[#This Row],[Revenue]]&lt;0,"Return","Sale")</f>
        <v>Sale</v>
      </c>
    </row>
    <row r="25" spans="1:14" hidden="1">
      <c r="A25" s="1">
        <v>46040</v>
      </c>
      <c r="B25">
        <f>MONTH(data_tab[[#This Row],[Order Date]])</f>
        <v>1</v>
      </c>
      <c r="C25">
        <f>YEAR(data_tab[[#This Row],[Order Date]])</f>
        <v>2026</v>
      </c>
      <c r="D25" t="s">
        <v>20</v>
      </c>
      <c r="E25" t="s">
        <v>15</v>
      </c>
      <c r="F25" t="s">
        <v>21</v>
      </c>
      <c r="G25" t="s">
        <v>26</v>
      </c>
      <c r="H25">
        <v>10</v>
      </c>
      <c r="I25">
        <v>46040</v>
      </c>
      <c r="J25">
        <v>34426.529894275998</v>
      </c>
      <c r="K25" t="str">
        <f>IF(AND(data_tab[[#This Row],[Revenue]]="",data_tab[[#This Row],[Cost]]=""),"Remove",IF(OR(data_tab[[#This Row],[Revenue]]="",data_tab[[#This Row],[Cost]]=""),"Flag","Valid"))</f>
        <v>Valid</v>
      </c>
      <c r="L25" t="str">
        <f>IF((COUNTIFS(data_tab[Revenue],data_tab[[#This Row],[Revenue]],data_tab[Cost],data_tab[[#This Row],[Cost]]))&gt;1,"Duplicate","Unique")</f>
        <v>Unique</v>
      </c>
      <c r="M25">
        <f>data_tab[[#This Row],[Revenue]]-data_tab[[#This Row],[Cost]]</f>
        <v>11613.470105724002</v>
      </c>
      <c r="N25" t="str">
        <f>IF(data_tab[[#This Row],[Revenue]]&lt;0,"Return","Sale")</f>
        <v>Sale</v>
      </c>
    </row>
    <row r="26" spans="1:14" hidden="1">
      <c r="A26" s="1">
        <v>46089</v>
      </c>
      <c r="B26">
        <f>MONTH(data_tab[[#This Row],[Order Date]])</f>
        <v>3</v>
      </c>
      <c r="C26">
        <f>YEAR(data_tab[[#This Row],[Order Date]])</f>
        <v>2026</v>
      </c>
      <c r="D26" t="s">
        <v>31</v>
      </c>
      <c r="E26" t="s">
        <v>32</v>
      </c>
      <c r="F26" t="s">
        <v>16</v>
      </c>
      <c r="G26" t="s">
        <v>33</v>
      </c>
      <c r="H26">
        <v>3</v>
      </c>
      <c r="I26">
        <v>138057</v>
      </c>
      <c r="J26">
        <v>104674.860961823</v>
      </c>
      <c r="K26" t="str">
        <f>IF(AND(data_tab[[#This Row],[Revenue]]="",data_tab[[#This Row],[Cost]]=""),"Remove",IF(OR(data_tab[[#This Row],[Revenue]]="",data_tab[[#This Row],[Cost]]=""),"Flag","Valid"))</f>
        <v>Valid</v>
      </c>
      <c r="L26" t="str">
        <f>IF((COUNTIFS(data_tab[Revenue],data_tab[[#This Row],[Revenue]],data_tab[Cost],data_tab[[#This Row],[Cost]]))&gt;1,"Duplicate","Unique")</f>
        <v>Unique</v>
      </c>
      <c r="M26">
        <f>data_tab[[#This Row],[Revenue]]-data_tab[[#This Row],[Cost]]</f>
        <v>33382.139038177003</v>
      </c>
      <c r="N26" t="str">
        <f>IF(data_tab[[#This Row],[Revenue]]&lt;0,"Return","Sale")</f>
        <v>Sale</v>
      </c>
    </row>
    <row r="27" spans="1:14" hidden="1">
      <c r="A27" s="1">
        <v>46025</v>
      </c>
      <c r="B27">
        <f>MONTH(data_tab[[#This Row],[Order Date]])</f>
        <v>1</v>
      </c>
      <c r="C27">
        <f>YEAR(data_tab[[#This Row],[Order Date]])</f>
        <v>2026</v>
      </c>
      <c r="D27" t="s">
        <v>20</v>
      </c>
      <c r="E27" t="s">
        <v>15</v>
      </c>
      <c r="F27" t="s">
        <v>24</v>
      </c>
      <c r="G27" t="s">
        <v>26</v>
      </c>
      <c r="H27">
        <v>4</v>
      </c>
      <c r="I27">
        <v>140612</v>
      </c>
      <c r="J27">
        <v>85222.144287553296</v>
      </c>
      <c r="K27" t="str">
        <f>IF(AND(data_tab[[#This Row],[Revenue]]="",data_tab[[#This Row],[Cost]]=""),"Remove",IF(OR(data_tab[[#This Row],[Revenue]]="",data_tab[[#This Row],[Cost]]=""),"Flag","Valid"))</f>
        <v>Valid</v>
      </c>
      <c r="L27" t="str">
        <f>IF((COUNTIFS(data_tab[Revenue],data_tab[[#This Row],[Revenue]],data_tab[Cost],data_tab[[#This Row],[Cost]]))&gt;1,"Duplicate","Unique")</f>
        <v>Unique</v>
      </c>
      <c r="M27">
        <f>data_tab[[#This Row],[Revenue]]-data_tab[[#This Row],[Cost]]</f>
        <v>55389.855712446704</v>
      </c>
      <c r="N27" t="str">
        <f>IF(data_tab[[#This Row],[Revenue]]&lt;0,"Return","Sale")</f>
        <v>Sale</v>
      </c>
    </row>
    <row r="28" spans="1:14" hidden="1">
      <c r="A28" s="1">
        <v>46117</v>
      </c>
      <c r="B28">
        <f>MONTH(data_tab[[#This Row],[Order Date]])</f>
        <v>4</v>
      </c>
      <c r="C28">
        <f>YEAR(data_tab[[#This Row],[Order Date]])</f>
        <v>2026</v>
      </c>
      <c r="D28" t="s">
        <v>40</v>
      </c>
      <c r="E28" t="s">
        <v>15</v>
      </c>
      <c r="F28" t="s">
        <v>16</v>
      </c>
      <c r="G28" t="s">
        <v>26</v>
      </c>
      <c r="H28">
        <v>9</v>
      </c>
      <c r="I28">
        <v>22608</v>
      </c>
      <c r="J28">
        <v>17343.620523813599</v>
      </c>
      <c r="K28" t="str">
        <f>IF(AND(data_tab[[#This Row],[Revenue]]="",data_tab[[#This Row],[Cost]]=""),"Remove",IF(OR(data_tab[[#This Row],[Revenue]]="",data_tab[[#This Row],[Cost]]=""),"Flag","Valid"))</f>
        <v>Valid</v>
      </c>
      <c r="L28" t="str">
        <f>IF((COUNTIFS(data_tab[Revenue],data_tab[[#This Row],[Revenue]],data_tab[Cost],data_tab[[#This Row],[Cost]]))&gt;1,"Duplicate","Unique")</f>
        <v>Unique</v>
      </c>
      <c r="M28">
        <f>data_tab[[#This Row],[Revenue]]-data_tab[[#This Row],[Cost]]</f>
        <v>5264.379476186401</v>
      </c>
      <c r="N28" t="str">
        <f>IF(data_tab[[#This Row],[Revenue]]&lt;0,"Return","Sale")</f>
        <v>Sale</v>
      </c>
    </row>
    <row r="29" spans="1:14" hidden="1">
      <c r="A29" s="1">
        <v>46057</v>
      </c>
      <c r="B29">
        <f>MONTH(data_tab[[#This Row],[Order Date]])</f>
        <v>2</v>
      </c>
      <c r="C29">
        <f>YEAR(data_tab[[#This Row],[Order Date]])</f>
        <v>2026</v>
      </c>
      <c r="D29" t="s">
        <v>14</v>
      </c>
      <c r="E29" t="s">
        <v>15</v>
      </c>
      <c r="F29" t="s">
        <v>21</v>
      </c>
      <c r="G29" t="s">
        <v>37</v>
      </c>
      <c r="H29">
        <v>5</v>
      </c>
      <c r="I29">
        <v>208190</v>
      </c>
      <c r="J29">
        <v>121635.395133702</v>
      </c>
      <c r="K29" t="str">
        <f>IF(AND(data_tab[[#This Row],[Revenue]]="",data_tab[[#This Row],[Cost]]=""),"Remove",IF(OR(data_tab[[#This Row],[Revenue]]="",data_tab[[#This Row],[Cost]]=""),"Flag","Valid"))</f>
        <v>Valid</v>
      </c>
      <c r="L29" t="str">
        <f>IF((COUNTIFS(data_tab[Revenue],data_tab[[#This Row],[Revenue]],data_tab[Cost],data_tab[[#This Row],[Cost]]))&gt;1,"Duplicate","Unique")</f>
        <v>Unique</v>
      </c>
      <c r="M29">
        <f>data_tab[[#This Row],[Revenue]]-data_tab[[#This Row],[Cost]]</f>
        <v>86554.604866298003</v>
      </c>
      <c r="N29" t="str">
        <f>IF(data_tab[[#This Row],[Revenue]]&lt;0,"Return","Sale")</f>
        <v>Sale</v>
      </c>
    </row>
    <row r="30" spans="1:14">
      <c r="A30" s="1">
        <v>46152</v>
      </c>
      <c r="B30">
        <f>MONTH(data_tab[[#This Row],[Order Date]])</f>
        <v>5</v>
      </c>
      <c r="C30">
        <f>YEAR(data_tab[[#This Row],[Order Date]])</f>
        <v>2026</v>
      </c>
      <c r="D30" t="s">
        <v>23</v>
      </c>
      <c r="E30" t="s">
        <v>15</v>
      </c>
      <c r="F30" t="s">
        <v>24</v>
      </c>
      <c r="G30" t="s">
        <v>39</v>
      </c>
      <c r="H30">
        <v>7</v>
      </c>
      <c r="I30">
        <v>140924</v>
      </c>
      <c r="J30">
        <v>72947.153127907703</v>
      </c>
      <c r="K30" t="str">
        <f>IF(AND(data_tab[[#This Row],[Revenue]]="",data_tab[[#This Row],[Cost]]=""),"Remove",IF(OR(data_tab[[#This Row],[Revenue]]="",data_tab[[#This Row],[Cost]]=""),"Flag","Valid"))</f>
        <v>Valid</v>
      </c>
      <c r="L30" t="str">
        <f>IF((COUNTIFS(data_tab[Revenue],data_tab[[#This Row],[Revenue]],data_tab[Cost],data_tab[[#This Row],[Cost]]))&gt;1,"Duplicate","Unique")</f>
        <v>Unique</v>
      </c>
      <c r="M30">
        <f>data_tab[[#This Row],[Revenue]]-data_tab[[#This Row],[Cost]]</f>
        <v>67976.846872092297</v>
      </c>
      <c r="N30" t="str">
        <f>IF(data_tab[[#This Row],[Revenue]]&lt;0,"Return","Sale")</f>
        <v>Sale</v>
      </c>
    </row>
    <row r="31" spans="1:14" hidden="1">
      <c r="A31" s="1">
        <v>46064</v>
      </c>
      <c r="B31">
        <f>MONTH(data_tab[[#This Row],[Order Date]])</f>
        <v>2</v>
      </c>
      <c r="C31">
        <f>YEAR(data_tab[[#This Row],[Order Date]])</f>
        <v>2026</v>
      </c>
      <c r="D31" t="s">
        <v>29</v>
      </c>
      <c r="E31" t="s">
        <v>15</v>
      </c>
      <c r="F31" t="s">
        <v>24</v>
      </c>
      <c r="G31" t="s">
        <v>39</v>
      </c>
      <c r="H31">
        <v>2</v>
      </c>
      <c r="I31">
        <v>94572</v>
      </c>
      <c r="J31">
        <v>81480.533147824797</v>
      </c>
      <c r="K31" t="str">
        <f>IF(AND(data_tab[[#This Row],[Revenue]]="",data_tab[[#This Row],[Cost]]=""),"Remove",IF(OR(data_tab[[#This Row],[Revenue]]="",data_tab[[#This Row],[Cost]]=""),"Flag","Valid"))</f>
        <v>Valid</v>
      </c>
      <c r="L31" t="str">
        <f>IF((COUNTIFS(data_tab[Revenue],data_tab[[#This Row],[Revenue]],data_tab[Cost],data_tab[[#This Row],[Cost]]))&gt;1,"Duplicate","Unique")</f>
        <v>Unique</v>
      </c>
      <c r="M31">
        <f>data_tab[[#This Row],[Revenue]]-data_tab[[#This Row],[Cost]]</f>
        <v>13091.466852175203</v>
      </c>
      <c r="N31" t="str">
        <f>IF(data_tab[[#This Row],[Revenue]]&lt;0,"Return","Sale")</f>
        <v>Sale</v>
      </c>
    </row>
    <row r="32" spans="1:14" hidden="1">
      <c r="A32" s="1">
        <v>46060</v>
      </c>
      <c r="B32">
        <f>MONTH(data_tab[[#This Row],[Order Date]])</f>
        <v>2</v>
      </c>
      <c r="C32">
        <f>YEAR(data_tab[[#This Row],[Order Date]])</f>
        <v>2026</v>
      </c>
      <c r="D32" t="s">
        <v>35</v>
      </c>
      <c r="E32" t="s">
        <v>32</v>
      </c>
      <c r="F32" t="s">
        <v>24</v>
      </c>
      <c r="G32" t="s">
        <v>37</v>
      </c>
      <c r="H32">
        <v>4</v>
      </c>
      <c r="I32">
        <v>186796</v>
      </c>
      <c r="J32">
        <v>112042.462867154</v>
      </c>
      <c r="K32" t="str">
        <f>IF(AND(data_tab[[#This Row],[Revenue]]="",data_tab[[#This Row],[Cost]]=""),"Remove",IF(OR(data_tab[[#This Row],[Revenue]]="",data_tab[[#This Row],[Cost]]=""),"Flag","Valid"))</f>
        <v>Valid</v>
      </c>
      <c r="L32" t="str">
        <f>IF((COUNTIFS(data_tab[Revenue],data_tab[[#This Row],[Revenue]],data_tab[Cost],data_tab[[#This Row],[Cost]]))&gt;1,"Duplicate","Unique")</f>
        <v>Unique</v>
      </c>
      <c r="M32">
        <f>data_tab[[#This Row],[Revenue]]-data_tab[[#This Row],[Cost]]</f>
        <v>74753.537132846002</v>
      </c>
      <c r="N32" t="str">
        <f>IF(data_tab[[#This Row],[Revenue]]&lt;0,"Return","Sale")</f>
        <v>Sale</v>
      </c>
    </row>
    <row r="33" spans="1:14" hidden="1">
      <c r="A33" s="1">
        <v>46127</v>
      </c>
      <c r="B33">
        <f>MONTH(data_tab[[#This Row],[Order Date]])</f>
        <v>4</v>
      </c>
      <c r="C33">
        <f>YEAR(data_tab[[#This Row],[Order Date]])</f>
        <v>2026</v>
      </c>
      <c r="D33" t="s">
        <v>31</v>
      </c>
      <c r="E33" t="s">
        <v>32</v>
      </c>
      <c r="F33" t="s">
        <v>21</v>
      </c>
      <c r="G33" t="s">
        <v>17</v>
      </c>
      <c r="H33">
        <v>7</v>
      </c>
      <c r="I33">
        <v>25368</v>
      </c>
      <c r="J33">
        <v>14504.008523837199</v>
      </c>
      <c r="K33" t="str">
        <f>IF(AND(data_tab[[#This Row],[Revenue]]="",data_tab[[#This Row],[Cost]]=""),"Remove",IF(OR(data_tab[[#This Row],[Revenue]]="",data_tab[[#This Row],[Cost]]=""),"Flag","Valid"))</f>
        <v>Valid</v>
      </c>
      <c r="L33" t="str">
        <f>IF((COUNTIFS(data_tab[Revenue],data_tab[[#This Row],[Revenue]],data_tab[Cost],data_tab[[#This Row],[Cost]]))&gt;1,"Duplicate","Unique")</f>
        <v>Unique</v>
      </c>
      <c r="M33">
        <f>data_tab[[#This Row],[Revenue]]-data_tab[[#This Row],[Cost]]</f>
        <v>10863.991476162801</v>
      </c>
      <c r="N33" t="str">
        <f>IF(data_tab[[#This Row],[Revenue]]&lt;0,"Return","Sale")</f>
        <v>Sale</v>
      </c>
    </row>
    <row r="34" spans="1:14" hidden="1">
      <c r="A34" s="1">
        <v>46194</v>
      </c>
      <c r="B34">
        <f>MONTH(data_tab[[#This Row],[Order Date]])</f>
        <v>6</v>
      </c>
      <c r="C34">
        <f>YEAR(data_tab[[#This Row],[Order Date]])</f>
        <v>2026</v>
      </c>
      <c r="D34" t="s">
        <v>35</v>
      </c>
      <c r="E34" t="s">
        <v>32</v>
      </c>
      <c r="F34" t="s">
        <v>21</v>
      </c>
      <c r="G34" t="s">
        <v>41</v>
      </c>
      <c r="H34">
        <v>2</v>
      </c>
      <c r="I34">
        <v>54140</v>
      </c>
      <c r="J34">
        <v>45957.6438506142</v>
      </c>
      <c r="K34" t="str">
        <f>IF(AND(data_tab[[#This Row],[Revenue]]="",data_tab[[#This Row],[Cost]]=""),"Remove",IF(OR(data_tab[[#This Row],[Revenue]]="",data_tab[[#This Row],[Cost]]=""),"Flag","Valid"))</f>
        <v>Valid</v>
      </c>
      <c r="L34" t="str">
        <f>IF((COUNTIFS(data_tab[Revenue],data_tab[[#This Row],[Revenue]],data_tab[Cost],data_tab[[#This Row],[Cost]]))&gt;1,"Duplicate","Unique")</f>
        <v>Unique</v>
      </c>
      <c r="M34">
        <f>data_tab[[#This Row],[Revenue]]-data_tab[[#This Row],[Cost]]</f>
        <v>8182.3561493857997</v>
      </c>
      <c r="N34" t="str">
        <f>IF(data_tab[[#This Row],[Revenue]]&lt;0,"Return","Sale")</f>
        <v>Sale</v>
      </c>
    </row>
    <row r="35" spans="1:14" hidden="1">
      <c r="A35" s="1">
        <v>46140</v>
      </c>
      <c r="B35">
        <f>MONTH(data_tab[[#This Row],[Order Date]])</f>
        <v>4</v>
      </c>
      <c r="C35">
        <f>YEAR(data_tab[[#This Row],[Order Date]])</f>
        <v>2026</v>
      </c>
      <c r="D35" t="s">
        <v>23</v>
      </c>
      <c r="E35" t="s">
        <v>15</v>
      </c>
      <c r="F35" t="s">
        <v>21</v>
      </c>
      <c r="G35" t="s">
        <v>17</v>
      </c>
      <c r="H35">
        <v>1</v>
      </c>
      <c r="I35">
        <v>45255</v>
      </c>
      <c r="J35">
        <v>26123.5354283081</v>
      </c>
      <c r="K35" t="str">
        <f>IF(AND(data_tab[[#This Row],[Revenue]]="",data_tab[[#This Row],[Cost]]=""),"Remove",IF(OR(data_tab[[#This Row],[Revenue]]="",data_tab[[#This Row],[Cost]]=""),"Flag","Valid"))</f>
        <v>Valid</v>
      </c>
      <c r="L35" t="str">
        <f>IF((COUNTIFS(data_tab[Revenue],data_tab[[#This Row],[Revenue]],data_tab[Cost],data_tab[[#This Row],[Cost]]))&gt;1,"Duplicate","Unique")</f>
        <v>Unique</v>
      </c>
      <c r="M35">
        <f>data_tab[[#This Row],[Revenue]]-data_tab[[#This Row],[Cost]]</f>
        <v>19131.4645716919</v>
      </c>
      <c r="N35" t="str">
        <f>IF(data_tab[[#This Row],[Revenue]]&lt;0,"Return","Sale")</f>
        <v>Sale</v>
      </c>
    </row>
    <row r="36" spans="1:14" hidden="1">
      <c r="A36" s="1">
        <v>46094</v>
      </c>
      <c r="B36">
        <f>MONTH(data_tab[[#This Row],[Order Date]])</f>
        <v>3</v>
      </c>
      <c r="C36">
        <f>YEAR(data_tab[[#This Row],[Order Date]])</f>
        <v>2026</v>
      </c>
      <c r="D36" t="s">
        <v>14</v>
      </c>
      <c r="E36" t="s">
        <v>15</v>
      </c>
      <c r="F36" t="s">
        <v>16</v>
      </c>
      <c r="G36" t="s">
        <v>39</v>
      </c>
      <c r="H36">
        <v>2</v>
      </c>
      <c r="I36">
        <v>38236</v>
      </c>
      <c r="J36">
        <v>21849.087607668102</v>
      </c>
      <c r="K36" t="str">
        <f>IF(AND(data_tab[[#This Row],[Revenue]]="",data_tab[[#This Row],[Cost]]=""),"Remove",IF(OR(data_tab[[#This Row],[Revenue]]="",data_tab[[#This Row],[Cost]]=""),"Flag","Valid"))</f>
        <v>Valid</v>
      </c>
      <c r="L36" t="str">
        <f>IF((COUNTIFS(data_tab[Revenue],data_tab[[#This Row],[Revenue]],data_tab[Cost],data_tab[[#This Row],[Cost]]))&gt;1,"Duplicate","Unique")</f>
        <v>Unique</v>
      </c>
      <c r="M36">
        <f>data_tab[[#This Row],[Revenue]]-data_tab[[#This Row],[Cost]]</f>
        <v>16386.912392331898</v>
      </c>
      <c r="N36" t="str">
        <f>IF(data_tab[[#This Row],[Revenue]]&lt;0,"Return","Sale")</f>
        <v>Sale</v>
      </c>
    </row>
    <row r="37" spans="1:14" hidden="1">
      <c r="A37" s="1">
        <v>46134</v>
      </c>
      <c r="B37">
        <f>MONTH(data_tab[[#This Row],[Order Date]])</f>
        <v>4</v>
      </c>
      <c r="C37">
        <f>YEAR(data_tab[[#This Row],[Order Date]])</f>
        <v>2026</v>
      </c>
      <c r="D37" t="s">
        <v>29</v>
      </c>
      <c r="E37" t="s">
        <v>15</v>
      </c>
      <c r="F37" t="s">
        <v>24</v>
      </c>
      <c r="G37" t="s">
        <v>33</v>
      </c>
      <c r="H37">
        <v>10</v>
      </c>
      <c r="I37">
        <v>144570</v>
      </c>
      <c r="K37" t="str">
        <f>IF(AND(data_tab[[#This Row],[Revenue]]="",data_tab[[#This Row],[Cost]]=""),"Remove",IF(OR(data_tab[[#This Row],[Revenue]]="",data_tab[[#This Row],[Cost]]=""),"Flag","Valid"))</f>
        <v>Flag</v>
      </c>
      <c r="L37" t="str">
        <f>IF((COUNTIFS(data_tab[Revenue],data_tab[[#This Row],[Revenue]],data_tab[Cost],data_tab[[#This Row],[Cost]]))&gt;1,"Duplicate","Unique")</f>
        <v>Unique</v>
      </c>
      <c r="M37">
        <f>data_tab[[#This Row],[Revenue]]-data_tab[[#This Row],[Cost]]</f>
        <v>144570</v>
      </c>
      <c r="N37" t="str">
        <f>IF(data_tab[[#This Row],[Revenue]]&lt;0,"Return","Sale")</f>
        <v>Sale</v>
      </c>
    </row>
    <row r="38" spans="1:14">
      <c r="A38" s="1">
        <v>46160</v>
      </c>
      <c r="B38">
        <f>MONTH(data_tab[[#This Row],[Order Date]])</f>
        <v>5</v>
      </c>
      <c r="C38">
        <f>YEAR(data_tab[[#This Row],[Order Date]])</f>
        <v>2026</v>
      </c>
      <c r="D38" t="s">
        <v>14</v>
      </c>
      <c r="E38" t="s">
        <v>15</v>
      </c>
      <c r="F38" t="s">
        <v>21</v>
      </c>
      <c r="G38" t="s">
        <v>37</v>
      </c>
      <c r="H38">
        <v>7</v>
      </c>
      <c r="I38">
        <v>46095</v>
      </c>
      <c r="J38">
        <v>40542.847772339097</v>
      </c>
      <c r="K38" t="str">
        <f>IF(AND(data_tab[[#This Row],[Revenue]]="",data_tab[[#This Row],[Cost]]=""),"Remove",IF(OR(data_tab[[#This Row],[Revenue]]="",data_tab[[#This Row],[Cost]]=""),"Flag","Valid"))</f>
        <v>Valid</v>
      </c>
      <c r="L38" t="str">
        <f>IF((COUNTIFS(data_tab[Revenue],data_tab[[#This Row],[Revenue]],data_tab[Cost],data_tab[[#This Row],[Cost]]))&gt;1,"Duplicate","Unique")</f>
        <v>Unique</v>
      </c>
      <c r="M38">
        <f>data_tab[[#This Row],[Revenue]]-data_tab[[#This Row],[Cost]]</f>
        <v>5552.152227660903</v>
      </c>
      <c r="N38" t="str">
        <f>IF(data_tab[[#This Row],[Revenue]]&lt;0,"Return","Sale")</f>
        <v>Sale</v>
      </c>
    </row>
    <row r="39" spans="1:14" hidden="1">
      <c r="A39" s="1">
        <v>46054</v>
      </c>
      <c r="B39">
        <f>MONTH(data_tab[[#This Row],[Order Date]])</f>
        <v>2</v>
      </c>
      <c r="C39">
        <f>YEAR(data_tab[[#This Row],[Order Date]])</f>
        <v>2026</v>
      </c>
      <c r="D39" t="s">
        <v>35</v>
      </c>
      <c r="E39" t="s">
        <v>32</v>
      </c>
      <c r="F39" t="s">
        <v>36</v>
      </c>
      <c r="G39" t="s">
        <v>37</v>
      </c>
      <c r="H39">
        <v>7</v>
      </c>
      <c r="I39">
        <v>333844</v>
      </c>
      <c r="J39">
        <v>206403.08617282801</v>
      </c>
      <c r="K39" t="str">
        <f>IF(AND(data_tab[[#This Row],[Revenue]]="",data_tab[[#This Row],[Cost]]=""),"Remove",IF(OR(data_tab[[#This Row],[Revenue]]="",data_tab[[#This Row],[Cost]]=""),"Flag","Valid"))</f>
        <v>Valid</v>
      </c>
      <c r="L39" t="str">
        <f>IF((COUNTIFS(data_tab[Revenue],data_tab[[#This Row],[Revenue]],data_tab[Cost],data_tab[[#This Row],[Cost]]))&gt;1,"Duplicate","Unique")</f>
        <v>Unique</v>
      </c>
      <c r="M39">
        <f>data_tab[[#This Row],[Revenue]]-data_tab[[#This Row],[Cost]]</f>
        <v>127440.91382717199</v>
      </c>
      <c r="N39" t="str">
        <f>IF(data_tab[[#This Row],[Revenue]]&lt;0,"Return","Sale")</f>
        <v>Sale</v>
      </c>
    </row>
    <row r="40" spans="1:14" hidden="1">
      <c r="A40" s="1">
        <v>46196</v>
      </c>
      <c r="B40">
        <f>MONTH(data_tab[[#This Row],[Order Date]])</f>
        <v>6</v>
      </c>
      <c r="C40">
        <f>YEAR(data_tab[[#This Row],[Order Date]])</f>
        <v>2026</v>
      </c>
      <c r="D40" t="s">
        <v>40</v>
      </c>
      <c r="E40" t="s">
        <v>15</v>
      </c>
      <c r="F40" t="s">
        <v>16</v>
      </c>
      <c r="G40" t="s">
        <v>33</v>
      </c>
      <c r="H40">
        <v>9</v>
      </c>
      <c r="I40">
        <v>18234</v>
      </c>
      <c r="J40">
        <v>11333.342329983599</v>
      </c>
      <c r="K40" t="str">
        <f>IF(AND(data_tab[[#This Row],[Revenue]]="",data_tab[[#This Row],[Cost]]=""),"Remove",IF(OR(data_tab[[#This Row],[Revenue]]="",data_tab[[#This Row],[Cost]]=""),"Flag","Valid"))</f>
        <v>Valid</v>
      </c>
      <c r="L40" t="str">
        <f>IF((COUNTIFS(data_tab[Revenue],data_tab[[#This Row],[Revenue]],data_tab[Cost],data_tab[[#This Row],[Cost]]))&gt;1,"Duplicate","Unique")</f>
        <v>Unique</v>
      </c>
      <c r="M40">
        <f>data_tab[[#This Row],[Revenue]]-data_tab[[#This Row],[Cost]]</f>
        <v>6900.6576700164005</v>
      </c>
      <c r="N40" t="str">
        <f>IF(data_tab[[#This Row],[Revenue]]&lt;0,"Return","Sale")</f>
        <v>Sale</v>
      </c>
    </row>
    <row r="41" spans="1:14" hidden="1">
      <c r="A41" s="1">
        <v>46105</v>
      </c>
      <c r="B41">
        <f>MONTH(data_tab[[#This Row],[Order Date]])</f>
        <v>3</v>
      </c>
      <c r="C41">
        <f>YEAR(data_tab[[#This Row],[Order Date]])</f>
        <v>2026</v>
      </c>
      <c r="D41" t="s">
        <v>31</v>
      </c>
      <c r="E41" t="s">
        <v>32</v>
      </c>
      <c r="F41" t="s">
        <v>36</v>
      </c>
      <c r="G41" t="s">
        <v>41</v>
      </c>
      <c r="H41">
        <v>3</v>
      </c>
      <c r="I41">
        <v>135534</v>
      </c>
      <c r="J41">
        <v>72364.071309801002</v>
      </c>
      <c r="K41" t="str">
        <f>IF(AND(data_tab[[#This Row],[Revenue]]="",data_tab[[#This Row],[Cost]]=""),"Remove",IF(OR(data_tab[[#This Row],[Revenue]]="",data_tab[[#This Row],[Cost]]=""),"Flag","Valid"))</f>
        <v>Valid</v>
      </c>
      <c r="L41" t="str">
        <f>IF((COUNTIFS(data_tab[Revenue],data_tab[[#This Row],[Revenue]],data_tab[Cost],data_tab[[#This Row],[Cost]]))&gt;1,"Duplicate","Unique")</f>
        <v>Unique</v>
      </c>
      <c r="M41">
        <f>data_tab[[#This Row],[Revenue]]-data_tab[[#This Row],[Cost]]</f>
        <v>63169.928690198998</v>
      </c>
      <c r="N41" t="str">
        <f>IF(data_tab[[#This Row],[Revenue]]&lt;0,"Return","Sale")</f>
        <v>Sale</v>
      </c>
    </row>
    <row r="42" spans="1:14" hidden="1">
      <c r="A42" s="1">
        <v>46083</v>
      </c>
      <c r="B42">
        <f>MONTH(data_tab[[#This Row],[Order Date]])</f>
        <v>3</v>
      </c>
      <c r="C42">
        <f>YEAR(data_tab[[#This Row],[Order Date]])</f>
        <v>2026</v>
      </c>
      <c r="D42" t="s">
        <v>31</v>
      </c>
      <c r="E42" t="s">
        <v>32</v>
      </c>
      <c r="F42" t="s">
        <v>21</v>
      </c>
      <c r="G42" t="s">
        <v>39</v>
      </c>
      <c r="H42">
        <v>1</v>
      </c>
      <c r="I42">
        <v>18046</v>
      </c>
      <c r="J42">
        <v>16125.4437868485</v>
      </c>
      <c r="K42" t="str">
        <f>IF(AND(data_tab[[#This Row],[Revenue]]="",data_tab[[#This Row],[Cost]]=""),"Remove",IF(OR(data_tab[[#This Row],[Revenue]]="",data_tab[[#This Row],[Cost]]=""),"Flag","Valid"))</f>
        <v>Valid</v>
      </c>
      <c r="L42" t="str">
        <f>IF((COUNTIFS(data_tab[Revenue],data_tab[[#This Row],[Revenue]],data_tab[Cost],data_tab[[#This Row],[Cost]]))&gt;1,"Duplicate","Unique")</f>
        <v>Unique</v>
      </c>
      <c r="M42">
        <f>data_tab[[#This Row],[Revenue]]-data_tab[[#This Row],[Cost]]</f>
        <v>1920.5562131514998</v>
      </c>
      <c r="N42" t="str">
        <f>IF(data_tab[[#This Row],[Revenue]]&lt;0,"Return","Sale")</f>
        <v>Sale</v>
      </c>
    </row>
    <row r="43" spans="1:14" hidden="1">
      <c r="A43" s="1">
        <v>46184</v>
      </c>
      <c r="B43">
        <f>MONTH(data_tab[[#This Row],[Order Date]])</f>
        <v>6</v>
      </c>
      <c r="C43">
        <f>YEAR(data_tab[[#This Row],[Order Date]])</f>
        <v>2026</v>
      </c>
      <c r="D43" t="s">
        <v>29</v>
      </c>
      <c r="E43" t="s">
        <v>15</v>
      </c>
      <c r="F43" t="s">
        <v>36</v>
      </c>
      <c r="G43" t="s">
        <v>33</v>
      </c>
      <c r="H43">
        <v>4</v>
      </c>
      <c r="J43">
        <v>35592.964876297003</v>
      </c>
      <c r="K43" t="str">
        <f>IF(AND(data_tab[[#This Row],[Revenue]]="",data_tab[[#This Row],[Cost]]=""),"Remove",IF(OR(data_tab[[#This Row],[Revenue]]="",data_tab[[#This Row],[Cost]]=""),"Flag","Valid"))</f>
        <v>Flag</v>
      </c>
      <c r="L43" t="str">
        <f>IF((COUNTIFS(data_tab[Revenue],data_tab[[#This Row],[Revenue]],data_tab[Cost],data_tab[[#This Row],[Cost]]))&gt;1,"Duplicate","Unique")</f>
        <v>Unique</v>
      </c>
      <c r="M43">
        <f>data_tab[[#This Row],[Revenue]]-data_tab[[#This Row],[Cost]]</f>
        <v>-35592.964876297003</v>
      </c>
      <c r="N43" t="str">
        <f>IF(data_tab[[#This Row],[Revenue]]&lt;0,"Return","Sale")</f>
        <v>Sale</v>
      </c>
    </row>
    <row r="44" spans="1:14" hidden="1">
      <c r="A44" s="1">
        <v>46050</v>
      </c>
      <c r="B44">
        <f>MONTH(data_tab[[#This Row],[Order Date]])</f>
        <v>1</v>
      </c>
      <c r="C44">
        <f>YEAR(data_tab[[#This Row],[Order Date]])</f>
        <v>2026</v>
      </c>
      <c r="D44" t="s">
        <v>23</v>
      </c>
      <c r="E44" t="s">
        <v>15</v>
      </c>
      <c r="F44" t="s">
        <v>36</v>
      </c>
      <c r="G44" t="s">
        <v>39</v>
      </c>
      <c r="H44">
        <v>9</v>
      </c>
      <c r="I44">
        <v>164979</v>
      </c>
      <c r="J44">
        <v>143034.814205937</v>
      </c>
      <c r="K44" t="str">
        <f>IF(AND(data_tab[[#This Row],[Revenue]]="",data_tab[[#This Row],[Cost]]=""),"Remove",IF(OR(data_tab[[#This Row],[Revenue]]="",data_tab[[#This Row],[Cost]]=""),"Flag","Valid"))</f>
        <v>Valid</v>
      </c>
      <c r="L44" t="str">
        <f>IF((COUNTIFS(data_tab[Revenue],data_tab[[#This Row],[Revenue]],data_tab[Cost],data_tab[[#This Row],[Cost]]))&gt;1,"Duplicate","Unique")</f>
        <v>Unique</v>
      </c>
      <c r="M44">
        <f>data_tab[[#This Row],[Revenue]]-data_tab[[#This Row],[Cost]]</f>
        <v>21944.185794063</v>
      </c>
      <c r="N44" t="str">
        <f>IF(data_tab[[#This Row],[Revenue]]&lt;0,"Return","Sale")</f>
        <v>Sale</v>
      </c>
    </row>
    <row r="45" spans="1:14">
      <c r="A45" s="1">
        <v>46158</v>
      </c>
      <c r="B45">
        <f>MONTH(data_tab[[#This Row],[Order Date]])</f>
        <v>5</v>
      </c>
      <c r="C45">
        <f>YEAR(data_tab[[#This Row],[Order Date]])</f>
        <v>2026</v>
      </c>
      <c r="D45" t="s">
        <v>23</v>
      </c>
      <c r="E45" t="s">
        <v>15</v>
      </c>
      <c r="F45" t="s">
        <v>36</v>
      </c>
      <c r="G45" t="s">
        <v>26</v>
      </c>
      <c r="H45">
        <v>9</v>
      </c>
      <c r="I45">
        <v>269694</v>
      </c>
      <c r="J45">
        <v>224446.80866353799</v>
      </c>
      <c r="K45" t="str">
        <f>IF(AND(data_tab[[#This Row],[Revenue]]="",data_tab[[#This Row],[Cost]]=""),"Remove",IF(OR(data_tab[[#This Row],[Revenue]]="",data_tab[[#This Row],[Cost]]=""),"Flag","Valid"))</f>
        <v>Valid</v>
      </c>
      <c r="L45" t="str">
        <f>IF((COUNTIFS(data_tab[Revenue],data_tab[[#This Row],[Revenue]],data_tab[Cost],data_tab[[#This Row],[Cost]]))&gt;1,"Duplicate","Unique")</f>
        <v>Unique</v>
      </c>
      <c r="M45">
        <f>data_tab[[#This Row],[Revenue]]-data_tab[[#This Row],[Cost]]</f>
        <v>45247.191336462012</v>
      </c>
      <c r="N45" t="str">
        <f>IF(data_tab[[#This Row],[Revenue]]&lt;0,"Return","Sale")</f>
        <v>Sale</v>
      </c>
    </row>
    <row r="46" spans="1:14">
      <c r="A46" s="1">
        <v>46144</v>
      </c>
      <c r="B46">
        <f>MONTH(data_tab[[#This Row],[Order Date]])</f>
        <v>5</v>
      </c>
      <c r="C46">
        <f>YEAR(data_tab[[#This Row],[Order Date]])</f>
        <v>2026</v>
      </c>
      <c r="D46" t="s">
        <v>23</v>
      </c>
      <c r="E46" t="s">
        <v>15</v>
      </c>
      <c r="F46" t="s">
        <v>16</v>
      </c>
      <c r="G46" t="s">
        <v>26</v>
      </c>
      <c r="H46">
        <v>8</v>
      </c>
      <c r="I46">
        <v>344592</v>
      </c>
      <c r="J46">
        <v>205272.88428144401</v>
      </c>
      <c r="K46" t="str">
        <f>IF(AND(data_tab[[#This Row],[Revenue]]="",data_tab[[#This Row],[Cost]]=""),"Remove",IF(OR(data_tab[[#This Row],[Revenue]]="",data_tab[[#This Row],[Cost]]=""),"Flag","Valid"))</f>
        <v>Valid</v>
      </c>
      <c r="L46" t="str">
        <f>IF((COUNTIFS(data_tab[Revenue],data_tab[[#This Row],[Revenue]],data_tab[Cost],data_tab[[#This Row],[Cost]]))&gt;1,"Duplicate","Unique")</f>
        <v>Unique</v>
      </c>
      <c r="M46">
        <f>data_tab[[#This Row],[Revenue]]-data_tab[[#This Row],[Cost]]</f>
        <v>139319.11571855599</v>
      </c>
      <c r="N46" t="str">
        <f>IF(data_tab[[#This Row],[Revenue]]&lt;0,"Return","Sale")</f>
        <v>Sale</v>
      </c>
    </row>
    <row r="47" spans="1:14" hidden="1">
      <c r="A47" s="1">
        <v>46108</v>
      </c>
      <c r="B47">
        <f>MONTH(data_tab[[#This Row],[Order Date]])</f>
        <v>3</v>
      </c>
      <c r="C47">
        <f>YEAR(data_tab[[#This Row],[Order Date]])</f>
        <v>2026</v>
      </c>
      <c r="D47" t="s">
        <v>31</v>
      </c>
      <c r="E47" t="s">
        <v>32</v>
      </c>
      <c r="F47" t="s">
        <v>21</v>
      </c>
      <c r="G47" t="s">
        <v>17</v>
      </c>
      <c r="H47">
        <v>7</v>
      </c>
      <c r="I47">
        <v>332346</v>
      </c>
      <c r="J47">
        <v>186486.68765033901</v>
      </c>
      <c r="K47" t="str">
        <f>IF(AND(data_tab[[#This Row],[Revenue]]="",data_tab[[#This Row],[Cost]]=""),"Remove",IF(OR(data_tab[[#This Row],[Revenue]]="",data_tab[[#This Row],[Cost]]=""),"Flag","Valid"))</f>
        <v>Valid</v>
      </c>
      <c r="L47" t="str">
        <f>IF((COUNTIFS(data_tab[Revenue],data_tab[[#This Row],[Revenue]],data_tab[Cost],data_tab[[#This Row],[Cost]]))&gt;1,"Duplicate","Unique")</f>
        <v>Unique</v>
      </c>
      <c r="M47">
        <f>data_tab[[#This Row],[Revenue]]-data_tab[[#This Row],[Cost]]</f>
        <v>145859.31234966099</v>
      </c>
      <c r="N47" t="str">
        <f>IF(data_tab[[#This Row],[Revenue]]&lt;0,"Return","Sale")</f>
        <v>Sale</v>
      </c>
    </row>
    <row r="48" spans="1:14" hidden="1">
      <c r="A48" s="1">
        <v>46142</v>
      </c>
      <c r="B48">
        <f>MONTH(data_tab[[#This Row],[Order Date]])</f>
        <v>4</v>
      </c>
      <c r="C48">
        <f>YEAR(data_tab[[#This Row],[Order Date]])</f>
        <v>2026</v>
      </c>
      <c r="D48" t="s">
        <v>29</v>
      </c>
      <c r="E48" t="s">
        <v>15</v>
      </c>
      <c r="F48" t="s">
        <v>36</v>
      </c>
      <c r="G48" t="s">
        <v>26</v>
      </c>
      <c r="H48">
        <v>1</v>
      </c>
      <c r="J48">
        <v>25908.711006895999</v>
      </c>
      <c r="K48" t="str">
        <f>IF(AND(data_tab[[#This Row],[Revenue]]="",data_tab[[#This Row],[Cost]]=""),"Remove",IF(OR(data_tab[[#This Row],[Revenue]]="",data_tab[[#This Row],[Cost]]=""),"Flag","Valid"))</f>
        <v>Flag</v>
      </c>
      <c r="L48" t="str">
        <f>IF((COUNTIFS(data_tab[Revenue],data_tab[[#This Row],[Revenue]],data_tab[Cost],data_tab[[#This Row],[Cost]]))&gt;1,"Duplicate","Unique")</f>
        <v>Unique</v>
      </c>
      <c r="M48">
        <f>data_tab[[#This Row],[Revenue]]-data_tab[[#This Row],[Cost]]</f>
        <v>-25908.711006895999</v>
      </c>
      <c r="N48" t="str">
        <f>IF(data_tab[[#This Row],[Revenue]]&lt;0,"Return","Sale")</f>
        <v>Sale</v>
      </c>
    </row>
    <row r="49" spans="1:14" hidden="1">
      <c r="A49" s="1">
        <v>46130</v>
      </c>
      <c r="B49">
        <f>MONTH(data_tab[[#This Row],[Order Date]])</f>
        <v>4</v>
      </c>
      <c r="C49">
        <f>YEAR(data_tab[[#This Row],[Order Date]])</f>
        <v>2026</v>
      </c>
      <c r="D49" t="s">
        <v>23</v>
      </c>
      <c r="E49" t="s">
        <v>15</v>
      </c>
      <c r="F49" t="s">
        <v>21</v>
      </c>
      <c r="G49" t="s">
        <v>33</v>
      </c>
      <c r="H49">
        <v>4</v>
      </c>
      <c r="J49">
        <v>53641.9520890231</v>
      </c>
      <c r="K49" t="str">
        <f>IF(AND(data_tab[[#This Row],[Revenue]]="",data_tab[[#This Row],[Cost]]=""),"Remove",IF(OR(data_tab[[#This Row],[Revenue]]="",data_tab[[#This Row],[Cost]]=""),"Flag","Valid"))</f>
        <v>Flag</v>
      </c>
      <c r="L49" t="str">
        <f>IF((COUNTIFS(data_tab[Revenue],data_tab[[#This Row],[Revenue]],data_tab[Cost],data_tab[[#This Row],[Cost]]))&gt;1,"Duplicate","Unique")</f>
        <v>Unique</v>
      </c>
      <c r="M49">
        <f>data_tab[[#This Row],[Revenue]]-data_tab[[#This Row],[Cost]]</f>
        <v>-53641.9520890231</v>
      </c>
      <c r="N49" t="str">
        <f>IF(data_tab[[#This Row],[Revenue]]&lt;0,"Return","Sale")</f>
        <v>Sale</v>
      </c>
    </row>
    <row r="50" spans="1:14" hidden="1">
      <c r="A50" s="1">
        <v>46126</v>
      </c>
      <c r="B50">
        <f>MONTH(data_tab[[#This Row],[Order Date]])</f>
        <v>4</v>
      </c>
      <c r="C50">
        <f>YEAR(data_tab[[#This Row],[Order Date]])</f>
        <v>2026</v>
      </c>
      <c r="D50" t="s">
        <v>31</v>
      </c>
      <c r="E50" t="s">
        <v>32</v>
      </c>
      <c r="F50" t="s">
        <v>24</v>
      </c>
      <c r="G50" t="s">
        <v>33</v>
      </c>
      <c r="H50">
        <v>10</v>
      </c>
      <c r="I50">
        <v>389870</v>
      </c>
      <c r="J50">
        <v>298328.48607908498</v>
      </c>
      <c r="K50" t="str">
        <f>IF(AND(data_tab[[#This Row],[Revenue]]="",data_tab[[#This Row],[Cost]]=""),"Remove",IF(OR(data_tab[[#This Row],[Revenue]]="",data_tab[[#This Row],[Cost]]=""),"Flag","Valid"))</f>
        <v>Valid</v>
      </c>
      <c r="L50" t="str">
        <f>IF((COUNTIFS(data_tab[Revenue],data_tab[[#This Row],[Revenue]],data_tab[Cost],data_tab[[#This Row],[Cost]]))&gt;1,"Duplicate","Unique")</f>
        <v>Unique</v>
      </c>
      <c r="M50">
        <f>data_tab[[#This Row],[Revenue]]-data_tab[[#This Row],[Cost]]</f>
        <v>91541.513920915022</v>
      </c>
      <c r="N50" t="str">
        <f>IF(data_tab[[#This Row],[Revenue]]&lt;0,"Return","Sale")</f>
        <v>Sale</v>
      </c>
    </row>
    <row r="51" spans="1:14" hidden="1">
      <c r="A51" s="1">
        <v>46069</v>
      </c>
      <c r="B51">
        <f>MONTH(data_tab[[#This Row],[Order Date]])</f>
        <v>2</v>
      </c>
      <c r="C51">
        <f>YEAR(data_tab[[#This Row],[Order Date]])</f>
        <v>2026</v>
      </c>
      <c r="D51" t="s">
        <v>29</v>
      </c>
      <c r="E51" t="s">
        <v>15</v>
      </c>
      <c r="F51" t="s">
        <v>16</v>
      </c>
      <c r="G51" t="s">
        <v>17</v>
      </c>
      <c r="H51">
        <v>8</v>
      </c>
      <c r="I51">
        <v>187360</v>
      </c>
      <c r="J51">
        <v>118973.641074848</v>
      </c>
      <c r="K51" t="str">
        <f>IF(AND(data_tab[[#This Row],[Revenue]]="",data_tab[[#This Row],[Cost]]=""),"Remove",IF(OR(data_tab[[#This Row],[Revenue]]="",data_tab[[#This Row],[Cost]]=""),"Flag","Valid"))</f>
        <v>Valid</v>
      </c>
      <c r="L51" t="str">
        <f>IF((COUNTIFS(data_tab[Revenue],data_tab[[#This Row],[Revenue]],data_tab[Cost],data_tab[[#This Row],[Cost]]))&gt;1,"Duplicate","Unique")</f>
        <v>Unique</v>
      </c>
      <c r="M51">
        <f>data_tab[[#This Row],[Revenue]]-data_tab[[#This Row],[Cost]]</f>
        <v>68386.358925152002</v>
      </c>
      <c r="N51" t="str">
        <f>IF(data_tab[[#This Row],[Revenue]]&lt;0,"Return","Sale")</f>
        <v>Sale</v>
      </c>
    </row>
    <row r="52" spans="1:14" hidden="1">
      <c r="A52" s="1">
        <v>46130</v>
      </c>
      <c r="B52">
        <f>MONTH(data_tab[[#This Row],[Order Date]])</f>
        <v>4</v>
      </c>
      <c r="C52">
        <f>YEAR(data_tab[[#This Row],[Order Date]])</f>
        <v>2026</v>
      </c>
      <c r="D52" t="s">
        <v>20</v>
      </c>
      <c r="E52" t="s">
        <v>15</v>
      </c>
      <c r="F52" t="s">
        <v>24</v>
      </c>
      <c r="G52" t="s">
        <v>37</v>
      </c>
      <c r="H52">
        <v>4</v>
      </c>
      <c r="I52">
        <v>178428</v>
      </c>
      <c r="K52" t="str">
        <f>IF(AND(data_tab[[#This Row],[Revenue]]="",data_tab[[#This Row],[Cost]]=""),"Remove",IF(OR(data_tab[[#This Row],[Revenue]]="",data_tab[[#This Row],[Cost]]=""),"Flag","Valid"))</f>
        <v>Flag</v>
      </c>
      <c r="L52" t="str">
        <f>IF((COUNTIFS(data_tab[Revenue],data_tab[[#This Row],[Revenue]],data_tab[Cost],data_tab[[#This Row],[Cost]]))&gt;1,"Duplicate","Unique")</f>
        <v>Unique</v>
      </c>
      <c r="M52">
        <f>data_tab[[#This Row],[Revenue]]-data_tab[[#This Row],[Cost]]</f>
        <v>178428</v>
      </c>
      <c r="N52" t="str">
        <f>IF(data_tab[[#This Row],[Revenue]]&lt;0,"Return","Sale")</f>
        <v>Sale</v>
      </c>
    </row>
    <row r="53" spans="1:14">
      <c r="A53" s="1">
        <v>46145</v>
      </c>
      <c r="B53">
        <f>MONTH(data_tab[[#This Row],[Order Date]])</f>
        <v>5</v>
      </c>
      <c r="C53">
        <f>YEAR(data_tab[[#This Row],[Order Date]])</f>
        <v>2026</v>
      </c>
      <c r="D53" t="s">
        <v>20</v>
      </c>
      <c r="E53" t="s">
        <v>15</v>
      </c>
      <c r="F53" t="s">
        <v>21</v>
      </c>
      <c r="G53" t="s">
        <v>17</v>
      </c>
      <c r="H53">
        <v>3</v>
      </c>
      <c r="I53">
        <v>99105</v>
      </c>
      <c r="J53">
        <v>76091.187518422405</v>
      </c>
      <c r="K53" t="str">
        <f>IF(AND(data_tab[[#This Row],[Revenue]]="",data_tab[[#This Row],[Cost]]=""),"Remove",IF(OR(data_tab[[#This Row],[Revenue]]="",data_tab[[#This Row],[Cost]]=""),"Flag","Valid"))</f>
        <v>Valid</v>
      </c>
      <c r="L53" t="str">
        <f>IF((COUNTIFS(data_tab[Revenue],data_tab[[#This Row],[Revenue]],data_tab[Cost],data_tab[[#This Row],[Cost]]))&gt;1,"Duplicate","Unique")</f>
        <v>Unique</v>
      </c>
      <c r="M53">
        <f>data_tab[[#This Row],[Revenue]]-data_tab[[#This Row],[Cost]]</f>
        <v>23013.812481577595</v>
      </c>
      <c r="N53" t="str">
        <f>IF(data_tab[[#This Row],[Revenue]]&lt;0,"Return","Sale")</f>
        <v>Sale</v>
      </c>
    </row>
    <row r="54" spans="1:14">
      <c r="A54" s="1">
        <v>46146</v>
      </c>
      <c r="B54">
        <f>MONTH(data_tab[[#This Row],[Order Date]])</f>
        <v>5</v>
      </c>
      <c r="C54">
        <f>YEAR(data_tab[[#This Row],[Order Date]])</f>
        <v>2026</v>
      </c>
      <c r="D54" t="s">
        <v>40</v>
      </c>
      <c r="E54" t="s">
        <v>15</v>
      </c>
      <c r="F54" t="s">
        <v>24</v>
      </c>
      <c r="G54" t="s">
        <v>17</v>
      </c>
      <c r="H54">
        <v>5</v>
      </c>
      <c r="I54">
        <v>45420</v>
      </c>
      <c r="J54">
        <v>33223.544220227901</v>
      </c>
      <c r="K54" t="str">
        <f>IF(AND(data_tab[[#This Row],[Revenue]]="",data_tab[[#This Row],[Cost]]=""),"Remove",IF(OR(data_tab[[#This Row],[Revenue]]="",data_tab[[#This Row],[Cost]]=""),"Flag","Valid"))</f>
        <v>Valid</v>
      </c>
      <c r="L54" t="str">
        <f>IF((COUNTIFS(data_tab[Revenue],data_tab[[#This Row],[Revenue]],data_tab[Cost],data_tab[[#This Row],[Cost]]))&gt;1,"Duplicate","Unique")</f>
        <v>Unique</v>
      </c>
      <c r="M54">
        <f>data_tab[[#This Row],[Revenue]]-data_tab[[#This Row],[Cost]]</f>
        <v>12196.455779772099</v>
      </c>
      <c r="N54" t="str">
        <f>IF(data_tab[[#This Row],[Revenue]]&lt;0,"Return","Sale")</f>
        <v>Sale</v>
      </c>
    </row>
    <row r="55" spans="1:14" hidden="1">
      <c r="A55" s="1">
        <v>46119</v>
      </c>
      <c r="B55">
        <f>MONTH(data_tab[[#This Row],[Order Date]])</f>
        <v>4</v>
      </c>
      <c r="C55">
        <f>YEAR(data_tab[[#This Row],[Order Date]])</f>
        <v>2026</v>
      </c>
      <c r="D55" t="s">
        <v>20</v>
      </c>
      <c r="E55" t="s">
        <v>15</v>
      </c>
      <c r="F55" t="s">
        <v>21</v>
      </c>
      <c r="G55" t="s">
        <v>39</v>
      </c>
      <c r="H55">
        <v>5</v>
      </c>
      <c r="I55">
        <v>234215</v>
      </c>
      <c r="J55">
        <v>173357.66254573001</v>
      </c>
      <c r="K55" t="str">
        <f>IF(AND(data_tab[[#This Row],[Revenue]]="",data_tab[[#This Row],[Cost]]=""),"Remove",IF(OR(data_tab[[#This Row],[Revenue]]="",data_tab[[#This Row],[Cost]]=""),"Flag","Valid"))</f>
        <v>Valid</v>
      </c>
      <c r="L55" t="str">
        <f>IF((COUNTIFS(data_tab[Revenue],data_tab[[#This Row],[Revenue]],data_tab[Cost],data_tab[[#This Row],[Cost]]))&gt;1,"Duplicate","Unique")</f>
        <v>Unique</v>
      </c>
      <c r="M55">
        <f>data_tab[[#This Row],[Revenue]]-data_tab[[#This Row],[Cost]]</f>
        <v>60857.337454269989</v>
      </c>
      <c r="N55" t="str">
        <f>IF(data_tab[[#This Row],[Revenue]]&lt;0,"Return","Sale")</f>
        <v>Sale</v>
      </c>
    </row>
    <row r="56" spans="1:14" hidden="1">
      <c r="A56" s="1">
        <v>46111</v>
      </c>
      <c r="B56">
        <f>MONTH(data_tab[[#This Row],[Order Date]])</f>
        <v>3</v>
      </c>
      <c r="C56">
        <f>YEAR(data_tab[[#This Row],[Order Date]])</f>
        <v>2026</v>
      </c>
      <c r="D56" t="s">
        <v>20</v>
      </c>
      <c r="E56" t="s">
        <v>15</v>
      </c>
      <c r="F56" t="s">
        <v>16</v>
      </c>
      <c r="G56" t="s">
        <v>39</v>
      </c>
      <c r="H56">
        <v>7</v>
      </c>
      <c r="I56">
        <v>238875</v>
      </c>
      <c r="J56">
        <v>129521.739090034</v>
      </c>
      <c r="K56" t="str">
        <f>IF(AND(data_tab[[#This Row],[Revenue]]="",data_tab[[#This Row],[Cost]]=""),"Remove",IF(OR(data_tab[[#This Row],[Revenue]]="",data_tab[[#This Row],[Cost]]=""),"Flag","Valid"))</f>
        <v>Valid</v>
      </c>
      <c r="L56" t="str">
        <f>IF((COUNTIFS(data_tab[Revenue],data_tab[[#This Row],[Revenue]],data_tab[Cost],data_tab[[#This Row],[Cost]]))&gt;1,"Duplicate","Unique")</f>
        <v>Unique</v>
      </c>
      <c r="M56">
        <f>data_tab[[#This Row],[Revenue]]-data_tab[[#This Row],[Cost]]</f>
        <v>109353.260909966</v>
      </c>
      <c r="N56" t="str">
        <f>IF(data_tab[[#This Row],[Revenue]]&lt;0,"Return","Sale")</f>
        <v>Sale</v>
      </c>
    </row>
    <row r="57" spans="1:14" hidden="1">
      <c r="A57" s="1">
        <v>46062</v>
      </c>
      <c r="B57">
        <f>MONTH(data_tab[[#This Row],[Order Date]])</f>
        <v>2</v>
      </c>
      <c r="C57">
        <f>YEAR(data_tab[[#This Row],[Order Date]])</f>
        <v>2026</v>
      </c>
      <c r="D57" t="s">
        <v>14</v>
      </c>
      <c r="E57" t="s">
        <v>15</v>
      </c>
      <c r="F57" t="s">
        <v>16</v>
      </c>
      <c r="G57" t="s">
        <v>26</v>
      </c>
      <c r="H57">
        <v>9</v>
      </c>
      <c r="I57">
        <v>303174</v>
      </c>
      <c r="J57">
        <v>207962.05633660799</v>
      </c>
      <c r="K57" t="str">
        <f>IF(AND(data_tab[[#This Row],[Revenue]]="",data_tab[[#This Row],[Cost]]=""),"Remove",IF(OR(data_tab[[#This Row],[Revenue]]="",data_tab[[#This Row],[Cost]]=""),"Flag","Valid"))</f>
        <v>Valid</v>
      </c>
      <c r="L57" t="str">
        <f>IF((COUNTIFS(data_tab[Revenue],data_tab[[#This Row],[Revenue]],data_tab[Cost],data_tab[[#This Row],[Cost]]))&gt;1,"Duplicate","Unique")</f>
        <v>Unique</v>
      </c>
      <c r="M57">
        <f>data_tab[[#This Row],[Revenue]]-data_tab[[#This Row],[Cost]]</f>
        <v>95211.943663392012</v>
      </c>
      <c r="N57" t="str">
        <f>IF(data_tab[[#This Row],[Revenue]]&lt;0,"Return","Sale")</f>
        <v>Sale</v>
      </c>
    </row>
    <row r="58" spans="1:14" hidden="1">
      <c r="A58" s="1">
        <v>46085</v>
      </c>
      <c r="B58">
        <f>MONTH(data_tab[[#This Row],[Order Date]])</f>
        <v>3</v>
      </c>
      <c r="C58">
        <f>YEAR(data_tab[[#This Row],[Order Date]])</f>
        <v>2026</v>
      </c>
      <c r="D58" t="s">
        <v>29</v>
      </c>
      <c r="E58" t="s">
        <v>15</v>
      </c>
      <c r="F58" t="s">
        <v>21</v>
      </c>
      <c r="G58" t="s">
        <v>33</v>
      </c>
      <c r="H58">
        <v>10</v>
      </c>
      <c r="I58">
        <v>419980</v>
      </c>
      <c r="J58">
        <v>322240.31752707902</v>
      </c>
      <c r="K58" t="str">
        <f>IF(AND(data_tab[[#This Row],[Revenue]]="",data_tab[[#This Row],[Cost]]=""),"Remove",IF(OR(data_tab[[#This Row],[Revenue]]="",data_tab[[#This Row],[Cost]]=""),"Flag","Valid"))</f>
        <v>Valid</v>
      </c>
      <c r="L58" t="str">
        <f>IF((COUNTIFS(data_tab[Revenue],data_tab[[#This Row],[Revenue]],data_tab[Cost],data_tab[[#This Row],[Cost]]))&gt;1,"Duplicate","Unique")</f>
        <v>Unique</v>
      </c>
      <c r="M58">
        <f>data_tab[[#This Row],[Revenue]]-data_tab[[#This Row],[Cost]]</f>
        <v>97739.682472920977</v>
      </c>
      <c r="N58" t="str">
        <f>IF(data_tab[[#This Row],[Revenue]]&lt;0,"Return","Sale")</f>
        <v>Sale</v>
      </c>
    </row>
    <row r="59" spans="1:14">
      <c r="A59" s="1">
        <v>46147</v>
      </c>
      <c r="B59">
        <f>MONTH(data_tab[[#This Row],[Order Date]])</f>
        <v>5</v>
      </c>
      <c r="C59">
        <f>YEAR(data_tab[[#This Row],[Order Date]])</f>
        <v>2026</v>
      </c>
      <c r="D59" t="s">
        <v>35</v>
      </c>
      <c r="E59" t="s">
        <v>32</v>
      </c>
      <c r="F59" t="s">
        <v>16</v>
      </c>
      <c r="G59" t="s">
        <v>26</v>
      </c>
      <c r="H59">
        <v>5</v>
      </c>
      <c r="I59">
        <v>192120</v>
      </c>
      <c r="J59">
        <v>96840.092842383398</v>
      </c>
      <c r="K59" t="str">
        <f>IF(AND(data_tab[[#This Row],[Revenue]]="",data_tab[[#This Row],[Cost]]=""),"Remove",IF(OR(data_tab[[#This Row],[Revenue]]="",data_tab[[#This Row],[Cost]]=""),"Flag","Valid"))</f>
        <v>Valid</v>
      </c>
      <c r="L59" t="str">
        <f>IF((COUNTIFS(data_tab[Revenue],data_tab[[#This Row],[Revenue]],data_tab[Cost],data_tab[[#This Row],[Cost]]))&gt;1,"Duplicate","Unique")</f>
        <v>Unique</v>
      </c>
      <c r="M59">
        <f>data_tab[[#This Row],[Revenue]]-data_tab[[#This Row],[Cost]]</f>
        <v>95279.907157616602</v>
      </c>
      <c r="N59" t="str">
        <f>IF(data_tab[[#This Row],[Revenue]]&lt;0,"Return","Sale")</f>
        <v>Sale</v>
      </c>
    </row>
    <row r="60" spans="1:14">
      <c r="A60" s="1">
        <v>46148</v>
      </c>
      <c r="B60">
        <f>MONTH(data_tab[[#This Row],[Order Date]])</f>
        <v>5</v>
      </c>
      <c r="C60">
        <f>YEAR(data_tab[[#This Row],[Order Date]])</f>
        <v>2026</v>
      </c>
      <c r="D60" t="s">
        <v>29</v>
      </c>
      <c r="E60" t="s">
        <v>15</v>
      </c>
      <c r="F60" t="s">
        <v>36</v>
      </c>
      <c r="G60" t="s">
        <v>33</v>
      </c>
      <c r="H60">
        <v>1</v>
      </c>
      <c r="I60">
        <v>8098</v>
      </c>
      <c r="J60">
        <v>5002.0878950133501</v>
      </c>
      <c r="K60" t="str">
        <f>IF(AND(data_tab[[#This Row],[Revenue]]="",data_tab[[#This Row],[Cost]]=""),"Remove",IF(OR(data_tab[[#This Row],[Revenue]]="",data_tab[[#This Row],[Cost]]=""),"Flag","Valid"))</f>
        <v>Valid</v>
      </c>
      <c r="L60" t="str">
        <f>IF((COUNTIFS(data_tab[Revenue],data_tab[[#This Row],[Revenue]],data_tab[Cost],data_tab[[#This Row],[Cost]]))&gt;1,"Duplicate","Unique")</f>
        <v>Unique</v>
      </c>
      <c r="M60">
        <f>data_tab[[#This Row],[Revenue]]-data_tab[[#This Row],[Cost]]</f>
        <v>3095.9121049866499</v>
      </c>
      <c r="N60" t="str">
        <f>IF(data_tab[[#This Row],[Revenue]]&lt;0,"Return","Sale")</f>
        <v>Sale</v>
      </c>
    </row>
    <row r="61" spans="1:14" hidden="1">
      <c r="A61" s="1">
        <v>46117</v>
      </c>
      <c r="B61">
        <f>MONTH(data_tab[[#This Row],[Order Date]])</f>
        <v>4</v>
      </c>
      <c r="C61">
        <f>YEAR(data_tab[[#This Row],[Order Date]])</f>
        <v>2026</v>
      </c>
      <c r="D61" t="s">
        <v>29</v>
      </c>
      <c r="E61" t="s">
        <v>15</v>
      </c>
      <c r="F61" t="s">
        <v>16</v>
      </c>
      <c r="G61" t="s">
        <v>37</v>
      </c>
      <c r="H61">
        <v>8</v>
      </c>
      <c r="I61">
        <v>158032</v>
      </c>
      <c r="J61">
        <v>98398.497827535306</v>
      </c>
      <c r="K61" t="str">
        <f>IF(AND(data_tab[[#This Row],[Revenue]]="",data_tab[[#This Row],[Cost]]=""),"Remove",IF(OR(data_tab[[#This Row],[Revenue]]="",data_tab[[#This Row],[Cost]]=""),"Flag","Valid"))</f>
        <v>Valid</v>
      </c>
      <c r="L61" t="str">
        <f>IF((COUNTIFS(data_tab[Revenue],data_tab[[#This Row],[Revenue]],data_tab[Cost],data_tab[[#This Row],[Cost]]))&gt;1,"Duplicate","Unique")</f>
        <v>Duplicate</v>
      </c>
      <c r="M61">
        <f>data_tab[[#This Row],[Revenue]]-data_tab[[#This Row],[Cost]]</f>
        <v>59633.502172464694</v>
      </c>
      <c r="N61" t="str">
        <f>IF(data_tab[[#This Row],[Revenue]]&lt;0,"Return","Sale")</f>
        <v>Sale</v>
      </c>
    </row>
    <row r="62" spans="1:14">
      <c r="A62" s="1">
        <v>46160</v>
      </c>
      <c r="B62">
        <f>MONTH(data_tab[[#This Row],[Order Date]])</f>
        <v>5</v>
      </c>
      <c r="C62">
        <f>YEAR(data_tab[[#This Row],[Order Date]])</f>
        <v>2026</v>
      </c>
      <c r="D62" t="s">
        <v>31</v>
      </c>
      <c r="E62" t="s">
        <v>32</v>
      </c>
      <c r="F62" t="s">
        <v>21</v>
      </c>
      <c r="G62" t="s">
        <v>41</v>
      </c>
      <c r="H62">
        <v>8</v>
      </c>
      <c r="I62">
        <v>160960</v>
      </c>
      <c r="J62">
        <v>127131.680710375</v>
      </c>
      <c r="K62" t="str">
        <f>IF(AND(data_tab[[#This Row],[Revenue]]="",data_tab[[#This Row],[Cost]]=""),"Remove",IF(OR(data_tab[[#This Row],[Revenue]]="",data_tab[[#This Row],[Cost]]=""),"Flag","Valid"))</f>
        <v>Valid</v>
      </c>
      <c r="L62" t="str">
        <f>IF((COUNTIFS(data_tab[Revenue],data_tab[[#This Row],[Revenue]],data_tab[Cost],data_tab[[#This Row],[Cost]]))&gt;1,"Duplicate","Unique")</f>
        <v>Unique</v>
      </c>
      <c r="M62">
        <f>data_tab[[#This Row],[Revenue]]-data_tab[[#This Row],[Cost]]</f>
        <v>33828.319289624997</v>
      </c>
      <c r="N62" t="str">
        <f>IF(data_tab[[#This Row],[Revenue]]&lt;0,"Return","Sale")</f>
        <v>Sale</v>
      </c>
    </row>
    <row r="63" spans="1:14" hidden="1">
      <c r="A63" s="1">
        <v>46048</v>
      </c>
      <c r="B63">
        <f>MONTH(data_tab[[#This Row],[Order Date]])</f>
        <v>1</v>
      </c>
      <c r="C63">
        <f>YEAR(data_tab[[#This Row],[Order Date]])</f>
        <v>2026</v>
      </c>
      <c r="D63" t="s">
        <v>35</v>
      </c>
      <c r="E63" t="s">
        <v>32</v>
      </c>
      <c r="F63" t="s">
        <v>21</v>
      </c>
      <c r="G63" t="s">
        <v>37</v>
      </c>
      <c r="H63">
        <v>1</v>
      </c>
      <c r="I63">
        <v>48400</v>
      </c>
      <c r="J63">
        <v>34540.8553282219</v>
      </c>
      <c r="K63" t="str">
        <f>IF(AND(data_tab[[#This Row],[Revenue]]="",data_tab[[#This Row],[Cost]]=""),"Remove",IF(OR(data_tab[[#This Row],[Revenue]]="",data_tab[[#This Row],[Cost]]=""),"Flag","Valid"))</f>
        <v>Valid</v>
      </c>
      <c r="L63" t="str">
        <f>IF((COUNTIFS(data_tab[Revenue],data_tab[[#This Row],[Revenue]],data_tab[Cost],data_tab[[#This Row],[Cost]]))&gt;1,"Duplicate","Unique")</f>
        <v>Unique</v>
      </c>
      <c r="M63">
        <f>data_tab[[#This Row],[Revenue]]-data_tab[[#This Row],[Cost]]</f>
        <v>13859.1446717781</v>
      </c>
      <c r="N63" t="str">
        <f>IF(data_tab[[#This Row],[Revenue]]&lt;0,"Return","Sale")</f>
        <v>Sale</v>
      </c>
    </row>
    <row r="64" spans="1:14" hidden="1">
      <c r="A64" s="1">
        <v>46201</v>
      </c>
      <c r="B64">
        <f>MONTH(data_tab[[#This Row],[Order Date]])</f>
        <v>6</v>
      </c>
      <c r="C64">
        <f>YEAR(data_tab[[#This Row],[Order Date]])</f>
        <v>2026</v>
      </c>
      <c r="D64" t="s">
        <v>23</v>
      </c>
      <c r="E64" t="s">
        <v>15</v>
      </c>
      <c r="F64" t="s">
        <v>36</v>
      </c>
      <c r="G64" t="s">
        <v>39</v>
      </c>
      <c r="H64">
        <v>1</v>
      </c>
      <c r="I64">
        <v>39621</v>
      </c>
      <c r="J64">
        <v>24316.8233922004</v>
      </c>
      <c r="K64" t="str">
        <f>IF(AND(data_tab[[#This Row],[Revenue]]="",data_tab[[#This Row],[Cost]]=""),"Remove",IF(OR(data_tab[[#This Row],[Revenue]]="",data_tab[[#This Row],[Cost]]=""),"Flag","Valid"))</f>
        <v>Valid</v>
      </c>
      <c r="L64" t="str">
        <f>IF((COUNTIFS(data_tab[Revenue],data_tab[[#This Row],[Revenue]],data_tab[Cost],data_tab[[#This Row],[Cost]]))&gt;1,"Duplicate","Unique")</f>
        <v>Unique</v>
      </c>
      <c r="M64">
        <f>data_tab[[#This Row],[Revenue]]-data_tab[[#This Row],[Cost]]</f>
        <v>15304.1766077996</v>
      </c>
      <c r="N64" t="str">
        <f>IF(data_tab[[#This Row],[Revenue]]&lt;0,"Return","Sale")</f>
        <v>Sale</v>
      </c>
    </row>
    <row r="65" spans="1:14" hidden="1">
      <c r="A65" s="1">
        <v>46087</v>
      </c>
      <c r="B65">
        <f>MONTH(data_tab[[#This Row],[Order Date]])</f>
        <v>3</v>
      </c>
      <c r="C65">
        <f>YEAR(data_tab[[#This Row],[Order Date]])</f>
        <v>2026</v>
      </c>
      <c r="D65" t="s">
        <v>23</v>
      </c>
      <c r="E65" t="s">
        <v>15</v>
      </c>
      <c r="F65" t="s">
        <v>24</v>
      </c>
      <c r="G65" t="s">
        <v>33</v>
      </c>
      <c r="H65">
        <v>8</v>
      </c>
      <c r="I65">
        <v>54840</v>
      </c>
      <c r="J65">
        <v>40077.536088343797</v>
      </c>
      <c r="K65" t="str">
        <f>IF(AND(data_tab[[#This Row],[Revenue]]="",data_tab[[#This Row],[Cost]]=""),"Remove",IF(OR(data_tab[[#This Row],[Revenue]]="",data_tab[[#This Row],[Cost]]=""),"Flag","Valid"))</f>
        <v>Valid</v>
      </c>
      <c r="L65" t="str">
        <f>IF((COUNTIFS(data_tab[Revenue],data_tab[[#This Row],[Revenue]],data_tab[Cost],data_tab[[#This Row],[Cost]]))&gt;1,"Duplicate","Unique")</f>
        <v>Unique</v>
      </c>
      <c r="M65">
        <f>data_tab[[#This Row],[Revenue]]-data_tab[[#This Row],[Cost]]</f>
        <v>14762.463911656203</v>
      </c>
      <c r="N65" t="str">
        <f>IF(data_tab[[#This Row],[Revenue]]&lt;0,"Return","Sale")</f>
        <v>Sale</v>
      </c>
    </row>
    <row r="66" spans="1:14" hidden="1">
      <c r="A66" s="1">
        <v>46100</v>
      </c>
      <c r="B66">
        <f>MONTH(data_tab[[#This Row],[Order Date]])</f>
        <v>3</v>
      </c>
      <c r="C66">
        <f>YEAR(data_tab[[#This Row],[Order Date]])</f>
        <v>2026</v>
      </c>
      <c r="D66" t="s">
        <v>31</v>
      </c>
      <c r="E66" t="s">
        <v>32</v>
      </c>
      <c r="F66" t="s">
        <v>24</v>
      </c>
      <c r="G66" t="s">
        <v>26</v>
      </c>
      <c r="H66">
        <v>7</v>
      </c>
      <c r="I66">
        <v>292145</v>
      </c>
      <c r="J66">
        <v>215734.690900924</v>
      </c>
      <c r="K66" t="str">
        <f>IF(AND(data_tab[[#This Row],[Revenue]]="",data_tab[[#This Row],[Cost]]=""),"Remove",IF(OR(data_tab[[#This Row],[Revenue]]="",data_tab[[#This Row],[Cost]]=""),"Flag","Valid"))</f>
        <v>Valid</v>
      </c>
      <c r="L66" t="str">
        <f>IF((COUNTIFS(data_tab[Revenue],data_tab[[#This Row],[Revenue]],data_tab[Cost],data_tab[[#This Row],[Cost]]))&gt;1,"Duplicate","Unique")</f>
        <v>Unique</v>
      </c>
      <c r="M66">
        <f>data_tab[[#This Row],[Revenue]]-data_tab[[#This Row],[Cost]]</f>
        <v>76410.309099075996</v>
      </c>
      <c r="N66" t="str">
        <f>IF(data_tab[[#This Row],[Revenue]]&lt;0,"Return","Sale")</f>
        <v>Sale</v>
      </c>
    </row>
    <row r="67" spans="1:14" hidden="1">
      <c r="A67" s="1">
        <v>46136</v>
      </c>
      <c r="B67">
        <f>MONTH(data_tab[[#This Row],[Order Date]])</f>
        <v>4</v>
      </c>
      <c r="C67">
        <f>YEAR(data_tab[[#This Row],[Order Date]])</f>
        <v>2026</v>
      </c>
      <c r="D67" t="s">
        <v>29</v>
      </c>
      <c r="E67" t="s">
        <v>15</v>
      </c>
      <c r="F67" t="s">
        <v>16</v>
      </c>
      <c r="G67" t="s">
        <v>26</v>
      </c>
      <c r="H67">
        <v>10</v>
      </c>
      <c r="I67">
        <v>59470</v>
      </c>
      <c r="J67">
        <v>44236.900140487101</v>
      </c>
      <c r="K67" t="str">
        <f>IF(AND(data_tab[[#This Row],[Revenue]]="",data_tab[[#This Row],[Cost]]=""),"Remove",IF(OR(data_tab[[#This Row],[Revenue]]="",data_tab[[#This Row],[Cost]]=""),"Flag","Valid"))</f>
        <v>Valid</v>
      </c>
      <c r="L67" t="str">
        <f>IF((COUNTIFS(data_tab[Revenue],data_tab[[#This Row],[Revenue]],data_tab[Cost],data_tab[[#This Row],[Cost]]))&gt;1,"Duplicate","Unique")</f>
        <v>Unique</v>
      </c>
      <c r="M67">
        <f>data_tab[[#This Row],[Revenue]]-data_tab[[#This Row],[Cost]]</f>
        <v>15233.099859512899</v>
      </c>
      <c r="N67" t="str">
        <f>IF(data_tab[[#This Row],[Revenue]]&lt;0,"Return","Sale")</f>
        <v>Sale</v>
      </c>
    </row>
    <row r="68" spans="1:14" hidden="1">
      <c r="A68" s="1">
        <v>46077</v>
      </c>
      <c r="B68">
        <f>MONTH(data_tab[[#This Row],[Order Date]])</f>
        <v>2</v>
      </c>
      <c r="C68">
        <f>YEAR(data_tab[[#This Row],[Order Date]])</f>
        <v>2026</v>
      </c>
      <c r="D68" t="s">
        <v>31</v>
      </c>
      <c r="E68" t="s">
        <v>32</v>
      </c>
      <c r="F68" t="s">
        <v>21</v>
      </c>
      <c r="G68" t="s">
        <v>26</v>
      </c>
      <c r="H68">
        <v>2</v>
      </c>
      <c r="I68">
        <v>24516</v>
      </c>
      <c r="J68">
        <v>12284.239206132899</v>
      </c>
      <c r="K68" t="str">
        <f>IF(AND(data_tab[[#This Row],[Revenue]]="",data_tab[[#This Row],[Cost]]=""),"Remove",IF(OR(data_tab[[#This Row],[Revenue]]="",data_tab[[#This Row],[Cost]]=""),"Flag","Valid"))</f>
        <v>Valid</v>
      </c>
      <c r="L68" t="str">
        <f>IF((COUNTIFS(data_tab[Revenue],data_tab[[#This Row],[Revenue]],data_tab[Cost],data_tab[[#This Row],[Cost]]))&gt;1,"Duplicate","Unique")</f>
        <v>Unique</v>
      </c>
      <c r="M68">
        <f>data_tab[[#This Row],[Revenue]]-data_tab[[#This Row],[Cost]]</f>
        <v>12231.760793867101</v>
      </c>
      <c r="N68" t="str">
        <f>IF(data_tab[[#This Row],[Revenue]]&lt;0,"Return","Sale")</f>
        <v>Sale</v>
      </c>
    </row>
    <row r="69" spans="1:14" hidden="1">
      <c r="A69" s="1">
        <v>46082</v>
      </c>
      <c r="B69">
        <f>MONTH(data_tab[[#This Row],[Order Date]])</f>
        <v>3</v>
      </c>
      <c r="C69">
        <f>YEAR(data_tab[[#This Row],[Order Date]])</f>
        <v>2026</v>
      </c>
      <c r="D69" t="s">
        <v>23</v>
      </c>
      <c r="E69" t="s">
        <v>15</v>
      </c>
      <c r="F69" t="s">
        <v>36</v>
      </c>
      <c r="G69" t="s">
        <v>39</v>
      </c>
      <c r="H69">
        <v>4</v>
      </c>
      <c r="I69">
        <v>77348</v>
      </c>
      <c r="J69">
        <v>63048.768882028497</v>
      </c>
      <c r="K69" t="str">
        <f>IF(AND(data_tab[[#This Row],[Revenue]]="",data_tab[[#This Row],[Cost]]=""),"Remove",IF(OR(data_tab[[#This Row],[Revenue]]="",data_tab[[#This Row],[Cost]]=""),"Flag","Valid"))</f>
        <v>Valid</v>
      </c>
      <c r="L69" t="str">
        <f>IF((COUNTIFS(data_tab[Revenue],data_tab[[#This Row],[Revenue]],data_tab[Cost],data_tab[[#This Row],[Cost]]))&gt;1,"Duplicate","Unique")</f>
        <v>Unique</v>
      </c>
      <c r="M69">
        <f>data_tab[[#This Row],[Revenue]]-data_tab[[#This Row],[Cost]]</f>
        <v>14299.231117971503</v>
      </c>
      <c r="N69" t="str">
        <f>IF(data_tab[[#This Row],[Revenue]]&lt;0,"Return","Sale")</f>
        <v>Sale</v>
      </c>
    </row>
    <row r="70" spans="1:14" hidden="1">
      <c r="A70" s="1">
        <v>46131</v>
      </c>
      <c r="B70">
        <f>MONTH(data_tab[[#This Row],[Order Date]])</f>
        <v>4</v>
      </c>
      <c r="C70">
        <f>YEAR(data_tab[[#This Row],[Order Date]])</f>
        <v>2026</v>
      </c>
      <c r="D70" t="s">
        <v>31</v>
      </c>
      <c r="E70" t="s">
        <v>32</v>
      </c>
      <c r="F70" t="s">
        <v>21</v>
      </c>
      <c r="G70" t="s">
        <v>37</v>
      </c>
      <c r="H70">
        <v>3</v>
      </c>
      <c r="I70">
        <v>20037</v>
      </c>
      <c r="J70">
        <v>10496.4869590955</v>
      </c>
      <c r="K70" t="str">
        <f>IF(AND(data_tab[[#This Row],[Revenue]]="",data_tab[[#This Row],[Cost]]=""),"Remove",IF(OR(data_tab[[#This Row],[Revenue]]="",data_tab[[#This Row],[Cost]]=""),"Flag","Valid"))</f>
        <v>Valid</v>
      </c>
      <c r="L70" t="str">
        <f>IF((COUNTIFS(data_tab[Revenue],data_tab[[#This Row],[Revenue]],data_tab[Cost],data_tab[[#This Row],[Cost]]))&gt;1,"Duplicate","Unique")</f>
        <v>Unique</v>
      </c>
      <c r="M70">
        <f>data_tab[[#This Row],[Revenue]]-data_tab[[#This Row],[Cost]]</f>
        <v>9540.5130409044996</v>
      </c>
      <c r="N70" t="str">
        <f>IF(data_tab[[#This Row],[Revenue]]&lt;0,"Return","Sale")</f>
        <v>Sale</v>
      </c>
    </row>
    <row r="71" spans="1:14" hidden="1">
      <c r="A71" s="1">
        <v>46096</v>
      </c>
      <c r="B71">
        <f>MONTH(data_tab[[#This Row],[Order Date]])</f>
        <v>3</v>
      </c>
      <c r="C71">
        <f>YEAR(data_tab[[#This Row],[Order Date]])</f>
        <v>2026</v>
      </c>
      <c r="D71" t="s">
        <v>35</v>
      </c>
      <c r="E71" t="s">
        <v>32</v>
      </c>
      <c r="F71" t="s">
        <v>36</v>
      </c>
      <c r="G71" t="s">
        <v>37</v>
      </c>
      <c r="H71">
        <v>9</v>
      </c>
      <c r="I71">
        <v>336492</v>
      </c>
      <c r="K71" t="str">
        <f>IF(AND(data_tab[[#This Row],[Revenue]]="",data_tab[[#This Row],[Cost]]=""),"Remove",IF(OR(data_tab[[#This Row],[Revenue]]="",data_tab[[#This Row],[Cost]]=""),"Flag","Valid"))</f>
        <v>Flag</v>
      </c>
      <c r="L71" t="str">
        <f>IF((COUNTIFS(data_tab[Revenue],data_tab[[#This Row],[Revenue]],data_tab[Cost],data_tab[[#This Row],[Cost]]))&gt;1,"Duplicate","Unique")</f>
        <v>Unique</v>
      </c>
      <c r="M71">
        <f>data_tab[[#This Row],[Revenue]]-data_tab[[#This Row],[Cost]]</f>
        <v>336492</v>
      </c>
      <c r="N71" t="str">
        <f>IF(data_tab[[#This Row],[Revenue]]&lt;0,"Return","Sale")</f>
        <v>Sale</v>
      </c>
    </row>
    <row r="72" spans="1:14" hidden="1">
      <c r="A72" s="1">
        <v>46105</v>
      </c>
      <c r="B72">
        <f>MONTH(data_tab[[#This Row],[Order Date]])</f>
        <v>3</v>
      </c>
      <c r="C72">
        <f>YEAR(data_tab[[#This Row],[Order Date]])</f>
        <v>2026</v>
      </c>
      <c r="D72" t="s">
        <v>31</v>
      </c>
      <c r="E72" t="s">
        <v>32</v>
      </c>
      <c r="F72" t="s">
        <v>24</v>
      </c>
      <c r="G72" t="s">
        <v>41</v>
      </c>
      <c r="H72">
        <v>5</v>
      </c>
      <c r="I72">
        <v>198820</v>
      </c>
      <c r="J72">
        <v>102609.544501845</v>
      </c>
      <c r="K72" t="str">
        <f>IF(AND(data_tab[[#This Row],[Revenue]]="",data_tab[[#This Row],[Cost]]=""),"Remove",IF(OR(data_tab[[#This Row],[Revenue]]="",data_tab[[#This Row],[Cost]]=""),"Flag","Valid"))</f>
        <v>Valid</v>
      </c>
      <c r="L72" t="str">
        <f>IF((COUNTIFS(data_tab[Revenue],data_tab[[#This Row],[Revenue]],data_tab[Cost],data_tab[[#This Row],[Cost]]))&gt;1,"Duplicate","Unique")</f>
        <v>Unique</v>
      </c>
      <c r="M72">
        <f>data_tab[[#This Row],[Revenue]]-data_tab[[#This Row],[Cost]]</f>
        <v>96210.455498155003</v>
      </c>
      <c r="N72" t="str">
        <f>IF(data_tab[[#This Row],[Revenue]]&lt;0,"Return","Sale")</f>
        <v>Sale</v>
      </c>
    </row>
    <row r="73" spans="1:14" hidden="1">
      <c r="A73" s="1">
        <v>46094</v>
      </c>
      <c r="B73">
        <f>MONTH(data_tab[[#This Row],[Order Date]])</f>
        <v>3</v>
      </c>
      <c r="C73">
        <f>YEAR(data_tab[[#This Row],[Order Date]])</f>
        <v>2026</v>
      </c>
      <c r="D73" t="s">
        <v>40</v>
      </c>
      <c r="E73" t="s">
        <v>15</v>
      </c>
      <c r="F73" t="s">
        <v>36</v>
      </c>
      <c r="G73" t="s">
        <v>41</v>
      </c>
      <c r="H73">
        <v>8</v>
      </c>
      <c r="I73">
        <v>63832</v>
      </c>
      <c r="J73">
        <v>43916.681412443599</v>
      </c>
      <c r="K73" t="str">
        <f>IF(AND(data_tab[[#This Row],[Revenue]]="",data_tab[[#This Row],[Cost]]=""),"Remove",IF(OR(data_tab[[#This Row],[Revenue]]="",data_tab[[#This Row],[Cost]]=""),"Flag","Valid"))</f>
        <v>Valid</v>
      </c>
      <c r="L73" t="str">
        <f>IF((COUNTIFS(data_tab[Revenue],data_tab[[#This Row],[Revenue]],data_tab[Cost],data_tab[[#This Row],[Cost]]))&gt;1,"Duplicate","Unique")</f>
        <v>Unique</v>
      </c>
      <c r="M73">
        <f>data_tab[[#This Row],[Revenue]]-data_tab[[#This Row],[Cost]]</f>
        <v>19915.318587556401</v>
      </c>
      <c r="N73" t="str">
        <f>IF(data_tab[[#This Row],[Revenue]]&lt;0,"Return","Sale")</f>
        <v>Sale</v>
      </c>
    </row>
    <row r="74" spans="1:14" hidden="1">
      <c r="A74" s="1">
        <v>46064</v>
      </c>
      <c r="B74">
        <f>MONTH(data_tab[[#This Row],[Order Date]])</f>
        <v>2</v>
      </c>
      <c r="C74">
        <f>YEAR(data_tab[[#This Row],[Order Date]])</f>
        <v>2026</v>
      </c>
      <c r="D74" t="s">
        <v>35</v>
      </c>
      <c r="E74" t="s">
        <v>32</v>
      </c>
      <c r="F74" t="s">
        <v>36</v>
      </c>
      <c r="G74" t="s">
        <v>26</v>
      </c>
      <c r="H74">
        <v>1</v>
      </c>
      <c r="I74">
        <v>31807</v>
      </c>
      <c r="J74">
        <v>17023.867131527801</v>
      </c>
      <c r="K74" t="str">
        <f>IF(AND(data_tab[[#This Row],[Revenue]]="",data_tab[[#This Row],[Cost]]=""),"Remove",IF(OR(data_tab[[#This Row],[Revenue]]="",data_tab[[#This Row],[Cost]]=""),"Flag","Valid"))</f>
        <v>Valid</v>
      </c>
      <c r="L74" t="str">
        <f>IF((COUNTIFS(data_tab[Revenue],data_tab[[#This Row],[Revenue]],data_tab[Cost],data_tab[[#This Row],[Cost]]))&gt;1,"Duplicate","Unique")</f>
        <v>Unique</v>
      </c>
      <c r="M74">
        <f>data_tab[[#This Row],[Revenue]]-data_tab[[#This Row],[Cost]]</f>
        <v>14783.132868472199</v>
      </c>
      <c r="N74" t="str">
        <f>IF(data_tab[[#This Row],[Revenue]]&lt;0,"Return","Sale")</f>
        <v>Sale</v>
      </c>
    </row>
    <row r="75" spans="1:14">
      <c r="A75" s="1">
        <v>46154</v>
      </c>
      <c r="B75">
        <f>MONTH(data_tab[[#This Row],[Order Date]])</f>
        <v>5</v>
      </c>
      <c r="C75">
        <f>YEAR(data_tab[[#This Row],[Order Date]])</f>
        <v>2026</v>
      </c>
      <c r="D75" t="s">
        <v>23</v>
      </c>
      <c r="E75" t="s">
        <v>15</v>
      </c>
      <c r="F75" t="s">
        <v>36</v>
      </c>
      <c r="G75" t="s">
        <v>33</v>
      </c>
      <c r="H75">
        <v>1</v>
      </c>
      <c r="I75">
        <v>14293</v>
      </c>
      <c r="J75">
        <v>10110.5216945764</v>
      </c>
      <c r="K75" t="str">
        <f>IF(AND(data_tab[[#This Row],[Revenue]]="",data_tab[[#This Row],[Cost]]=""),"Remove",IF(OR(data_tab[[#This Row],[Revenue]]="",data_tab[[#This Row],[Cost]]=""),"Flag","Valid"))</f>
        <v>Valid</v>
      </c>
      <c r="L75" t="str">
        <f>IF((COUNTIFS(data_tab[Revenue],data_tab[[#This Row],[Revenue]],data_tab[Cost],data_tab[[#This Row],[Cost]]))&gt;1,"Duplicate","Unique")</f>
        <v>Unique</v>
      </c>
      <c r="M75">
        <f>data_tab[[#This Row],[Revenue]]-data_tab[[#This Row],[Cost]]</f>
        <v>4182.4783054235995</v>
      </c>
      <c r="N75" t="str">
        <f>IF(data_tab[[#This Row],[Revenue]]&lt;0,"Return","Sale")</f>
        <v>Sale</v>
      </c>
    </row>
    <row r="76" spans="1:14" hidden="1">
      <c r="A76" s="1">
        <v>46036</v>
      </c>
      <c r="B76">
        <f>MONTH(data_tab[[#This Row],[Order Date]])</f>
        <v>1</v>
      </c>
      <c r="C76">
        <f>YEAR(data_tab[[#This Row],[Order Date]])</f>
        <v>2026</v>
      </c>
      <c r="D76" t="s">
        <v>35</v>
      </c>
      <c r="E76" t="s">
        <v>32</v>
      </c>
      <c r="F76" t="s">
        <v>36</v>
      </c>
      <c r="G76" t="s">
        <v>41</v>
      </c>
      <c r="H76">
        <v>8</v>
      </c>
      <c r="I76">
        <v>79656</v>
      </c>
      <c r="J76">
        <v>40747.8497228532</v>
      </c>
      <c r="K76" t="str">
        <f>IF(AND(data_tab[[#This Row],[Revenue]]="",data_tab[[#This Row],[Cost]]=""),"Remove",IF(OR(data_tab[[#This Row],[Revenue]]="",data_tab[[#This Row],[Cost]]=""),"Flag","Valid"))</f>
        <v>Valid</v>
      </c>
      <c r="L76" t="str">
        <f>IF((COUNTIFS(data_tab[Revenue],data_tab[[#This Row],[Revenue]],data_tab[Cost],data_tab[[#This Row],[Cost]]))&gt;1,"Duplicate","Unique")</f>
        <v>Unique</v>
      </c>
      <c r="M76">
        <f>data_tab[[#This Row],[Revenue]]-data_tab[[#This Row],[Cost]]</f>
        <v>38908.1502771468</v>
      </c>
      <c r="N76" t="str">
        <f>IF(data_tab[[#This Row],[Revenue]]&lt;0,"Return","Sale")</f>
        <v>Sale</v>
      </c>
    </row>
    <row r="77" spans="1:14" hidden="1">
      <c r="A77" s="1">
        <v>46102</v>
      </c>
      <c r="B77">
        <f>MONTH(data_tab[[#This Row],[Order Date]])</f>
        <v>3</v>
      </c>
      <c r="C77">
        <f>YEAR(data_tab[[#This Row],[Order Date]])</f>
        <v>2026</v>
      </c>
      <c r="D77" t="s">
        <v>20</v>
      </c>
      <c r="E77" t="s">
        <v>15</v>
      </c>
      <c r="F77" t="s">
        <v>21</v>
      </c>
      <c r="G77" t="s">
        <v>39</v>
      </c>
      <c r="H77">
        <v>8</v>
      </c>
      <c r="I77">
        <v>77584</v>
      </c>
      <c r="J77">
        <v>58892.763397839597</v>
      </c>
      <c r="K77" t="str">
        <f>IF(AND(data_tab[[#This Row],[Revenue]]="",data_tab[[#This Row],[Cost]]=""),"Remove",IF(OR(data_tab[[#This Row],[Revenue]]="",data_tab[[#This Row],[Cost]]=""),"Flag","Valid"))</f>
        <v>Valid</v>
      </c>
      <c r="L77" t="str">
        <f>IF((COUNTIFS(data_tab[Revenue],data_tab[[#This Row],[Revenue]],data_tab[Cost],data_tab[[#This Row],[Cost]]))&gt;1,"Duplicate","Unique")</f>
        <v>Unique</v>
      </c>
      <c r="M77">
        <f>data_tab[[#This Row],[Revenue]]-data_tab[[#This Row],[Cost]]</f>
        <v>18691.236602160403</v>
      </c>
      <c r="N77" t="str">
        <f>IF(data_tab[[#This Row],[Revenue]]&lt;0,"Return","Sale")</f>
        <v>Sale</v>
      </c>
    </row>
    <row r="78" spans="1:14" hidden="1">
      <c r="A78" s="1">
        <v>46203</v>
      </c>
      <c r="B78">
        <f>MONTH(data_tab[[#This Row],[Order Date]])</f>
        <v>6</v>
      </c>
      <c r="C78">
        <f>YEAR(data_tab[[#This Row],[Order Date]])</f>
        <v>2026</v>
      </c>
      <c r="D78" t="s">
        <v>29</v>
      </c>
      <c r="E78" t="s">
        <v>15</v>
      </c>
      <c r="F78" t="s">
        <v>21</v>
      </c>
      <c r="G78" t="s">
        <v>33</v>
      </c>
      <c r="H78">
        <v>9</v>
      </c>
      <c r="I78">
        <v>103311</v>
      </c>
      <c r="J78">
        <v>67506.961845830505</v>
      </c>
      <c r="K78" t="str">
        <f>IF(AND(data_tab[[#This Row],[Revenue]]="",data_tab[[#This Row],[Cost]]=""),"Remove",IF(OR(data_tab[[#This Row],[Revenue]]="",data_tab[[#This Row],[Cost]]=""),"Flag","Valid"))</f>
        <v>Valid</v>
      </c>
      <c r="L78" t="str">
        <f>IF((COUNTIFS(data_tab[Revenue],data_tab[[#This Row],[Revenue]],data_tab[Cost],data_tab[[#This Row],[Cost]]))&gt;1,"Duplicate","Unique")</f>
        <v>Duplicate</v>
      </c>
      <c r="M78">
        <f>data_tab[[#This Row],[Revenue]]-data_tab[[#This Row],[Cost]]</f>
        <v>35804.038154169495</v>
      </c>
      <c r="N78" t="str">
        <f>IF(data_tab[[#This Row],[Revenue]]&lt;0,"Return","Sale")</f>
        <v>Sale</v>
      </c>
    </row>
    <row r="79" spans="1:14" hidden="1">
      <c r="A79" s="1">
        <v>46040</v>
      </c>
      <c r="B79">
        <f>MONTH(data_tab[[#This Row],[Order Date]])</f>
        <v>1</v>
      </c>
      <c r="C79">
        <f>YEAR(data_tab[[#This Row],[Order Date]])</f>
        <v>2026</v>
      </c>
      <c r="D79" t="s">
        <v>29</v>
      </c>
      <c r="E79" t="s">
        <v>15</v>
      </c>
      <c r="F79" t="s">
        <v>16</v>
      </c>
      <c r="G79" t="s">
        <v>26</v>
      </c>
      <c r="H79">
        <v>5</v>
      </c>
      <c r="I79">
        <v>10840</v>
      </c>
      <c r="J79">
        <v>6646.3898315143297</v>
      </c>
      <c r="K79" t="str">
        <f>IF(AND(data_tab[[#This Row],[Revenue]]="",data_tab[[#This Row],[Cost]]=""),"Remove",IF(OR(data_tab[[#This Row],[Revenue]]="",data_tab[[#This Row],[Cost]]=""),"Flag","Valid"))</f>
        <v>Valid</v>
      </c>
      <c r="L79" t="str">
        <f>IF((COUNTIFS(data_tab[Revenue],data_tab[[#This Row],[Revenue]],data_tab[Cost],data_tab[[#This Row],[Cost]]))&gt;1,"Duplicate","Unique")</f>
        <v>Unique</v>
      </c>
      <c r="M79">
        <f>data_tab[[#This Row],[Revenue]]-data_tab[[#This Row],[Cost]]</f>
        <v>4193.6101684856703</v>
      </c>
      <c r="N79" t="str">
        <f>IF(data_tab[[#This Row],[Revenue]]&lt;0,"Return","Sale")</f>
        <v>Sale</v>
      </c>
    </row>
    <row r="80" spans="1:14">
      <c r="A80" s="1">
        <v>46148</v>
      </c>
      <c r="B80">
        <f>MONTH(data_tab[[#This Row],[Order Date]])</f>
        <v>5</v>
      </c>
      <c r="C80">
        <f>YEAR(data_tab[[#This Row],[Order Date]])</f>
        <v>2026</v>
      </c>
      <c r="D80" t="s">
        <v>29</v>
      </c>
      <c r="E80" t="s">
        <v>15</v>
      </c>
      <c r="F80" t="s">
        <v>16</v>
      </c>
      <c r="G80" t="s">
        <v>37</v>
      </c>
      <c r="H80">
        <v>9</v>
      </c>
      <c r="I80">
        <v>338526</v>
      </c>
      <c r="J80">
        <v>220341.16432512301</v>
      </c>
      <c r="K80" t="str">
        <f>IF(AND(data_tab[[#This Row],[Revenue]]="",data_tab[[#This Row],[Cost]]=""),"Remove",IF(OR(data_tab[[#This Row],[Revenue]]="",data_tab[[#This Row],[Cost]]=""),"Flag","Valid"))</f>
        <v>Valid</v>
      </c>
      <c r="L80" t="str">
        <f>IF((COUNTIFS(data_tab[Revenue],data_tab[[#This Row],[Revenue]],data_tab[Cost],data_tab[[#This Row],[Cost]]))&gt;1,"Duplicate","Unique")</f>
        <v>Unique</v>
      </c>
      <c r="M80">
        <f>data_tab[[#This Row],[Revenue]]-data_tab[[#This Row],[Cost]]</f>
        <v>118184.83567487699</v>
      </c>
      <c r="N80" t="str">
        <f>IF(data_tab[[#This Row],[Revenue]]&lt;0,"Return","Sale")</f>
        <v>Sale</v>
      </c>
    </row>
    <row r="81" spans="1:14" hidden="1">
      <c r="A81" s="1">
        <v>46084</v>
      </c>
      <c r="B81">
        <f>MONTH(data_tab[[#This Row],[Order Date]])</f>
        <v>3</v>
      </c>
      <c r="C81">
        <f>YEAR(data_tab[[#This Row],[Order Date]])</f>
        <v>2026</v>
      </c>
      <c r="D81" t="s">
        <v>23</v>
      </c>
      <c r="E81" t="s">
        <v>15</v>
      </c>
      <c r="F81" t="s">
        <v>36</v>
      </c>
      <c r="G81" t="s">
        <v>39</v>
      </c>
      <c r="H81">
        <v>6</v>
      </c>
      <c r="I81">
        <v>197976</v>
      </c>
      <c r="J81">
        <v>154835.277989522</v>
      </c>
      <c r="K81" t="str">
        <f>IF(AND(data_tab[[#This Row],[Revenue]]="",data_tab[[#This Row],[Cost]]=""),"Remove",IF(OR(data_tab[[#This Row],[Revenue]]="",data_tab[[#This Row],[Cost]]=""),"Flag","Valid"))</f>
        <v>Valid</v>
      </c>
      <c r="L81" t="str">
        <f>IF((COUNTIFS(data_tab[Revenue],data_tab[[#This Row],[Revenue]],data_tab[Cost],data_tab[[#This Row],[Cost]]))&gt;1,"Duplicate","Unique")</f>
        <v>Unique</v>
      </c>
      <c r="M81">
        <f>data_tab[[#This Row],[Revenue]]-data_tab[[#This Row],[Cost]]</f>
        <v>43140.722010477999</v>
      </c>
      <c r="N81" t="str">
        <f>IF(data_tab[[#This Row],[Revenue]]&lt;0,"Return","Sale")</f>
        <v>Sale</v>
      </c>
    </row>
    <row r="82" spans="1:14" hidden="1">
      <c r="A82" s="1">
        <v>46189</v>
      </c>
      <c r="B82">
        <f>MONTH(data_tab[[#This Row],[Order Date]])</f>
        <v>6</v>
      </c>
      <c r="C82">
        <f>YEAR(data_tab[[#This Row],[Order Date]])</f>
        <v>2026</v>
      </c>
      <c r="D82" t="s">
        <v>20</v>
      </c>
      <c r="E82" t="s">
        <v>15</v>
      </c>
      <c r="F82" t="s">
        <v>21</v>
      </c>
      <c r="G82" t="s">
        <v>26</v>
      </c>
      <c r="H82">
        <v>10</v>
      </c>
      <c r="I82">
        <v>237570</v>
      </c>
      <c r="J82">
        <v>201430.88137818401</v>
      </c>
      <c r="K82" t="str">
        <f>IF(AND(data_tab[[#This Row],[Revenue]]="",data_tab[[#This Row],[Cost]]=""),"Remove",IF(OR(data_tab[[#This Row],[Revenue]]="",data_tab[[#This Row],[Cost]]=""),"Flag","Valid"))</f>
        <v>Valid</v>
      </c>
      <c r="L82" t="str">
        <f>IF((COUNTIFS(data_tab[Revenue],data_tab[[#This Row],[Revenue]],data_tab[Cost],data_tab[[#This Row],[Cost]]))&gt;1,"Duplicate","Unique")</f>
        <v>Unique</v>
      </c>
      <c r="M82">
        <f>data_tab[[#This Row],[Revenue]]-data_tab[[#This Row],[Cost]]</f>
        <v>36139.118621815986</v>
      </c>
      <c r="N82" t="str">
        <f>IF(data_tab[[#This Row],[Revenue]]&lt;0,"Return","Sale")</f>
        <v>Sale</v>
      </c>
    </row>
    <row r="83" spans="1:14" hidden="1">
      <c r="A83" s="1">
        <v>46139</v>
      </c>
      <c r="B83">
        <f>MONTH(data_tab[[#This Row],[Order Date]])</f>
        <v>4</v>
      </c>
      <c r="C83">
        <f>YEAR(data_tab[[#This Row],[Order Date]])</f>
        <v>2026</v>
      </c>
      <c r="D83" t="s">
        <v>31</v>
      </c>
      <c r="E83" t="s">
        <v>32</v>
      </c>
      <c r="F83" t="s">
        <v>36</v>
      </c>
      <c r="G83" t="s">
        <v>41</v>
      </c>
      <c r="H83">
        <v>3</v>
      </c>
      <c r="I83">
        <v>20709</v>
      </c>
      <c r="J83">
        <v>14243.5723423171</v>
      </c>
      <c r="K83" t="str">
        <f>IF(AND(data_tab[[#This Row],[Revenue]]="",data_tab[[#This Row],[Cost]]=""),"Remove",IF(OR(data_tab[[#This Row],[Revenue]]="",data_tab[[#This Row],[Cost]]=""),"Flag","Valid"))</f>
        <v>Valid</v>
      </c>
      <c r="L83" t="str">
        <f>IF((COUNTIFS(data_tab[Revenue],data_tab[[#This Row],[Revenue]],data_tab[Cost],data_tab[[#This Row],[Cost]]))&gt;1,"Duplicate","Unique")</f>
        <v>Unique</v>
      </c>
      <c r="M83">
        <f>data_tab[[#This Row],[Revenue]]-data_tab[[#This Row],[Cost]]</f>
        <v>6465.4276576828997</v>
      </c>
      <c r="N83" t="str">
        <f>IF(data_tab[[#This Row],[Revenue]]&lt;0,"Return","Sale")</f>
        <v>Sale</v>
      </c>
    </row>
    <row r="84" spans="1:14" hidden="1">
      <c r="A84" s="1">
        <v>46189</v>
      </c>
      <c r="B84">
        <f>MONTH(data_tab[[#This Row],[Order Date]])</f>
        <v>6</v>
      </c>
      <c r="C84">
        <f>YEAR(data_tab[[#This Row],[Order Date]])</f>
        <v>2026</v>
      </c>
      <c r="D84" t="s">
        <v>35</v>
      </c>
      <c r="E84" t="s">
        <v>32</v>
      </c>
      <c r="F84" t="s">
        <v>36</v>
      </c>
      <c r="G84" t="s">
        <v>37</v>
      </c>
      <c r="H84">
        <v>8</v>
      </c>
      <c r="I84">
        <v>299648</v>
      </c>
      <c r="J84">
        <v>154126.837387265</v>
      </c>
      <c r="K84" t="str">
        <f>IF(AND(data_tab[[#This Row],[Revenue]]="",data_tab[[#This Row],[Cost]]=""),"Remove",IF(OR(data_tab[[#This Row],[Revenue]]="",data_tab[[#This Row],[Cost]]=""),"Flag","Valid"))</f>
        <v>Valid</v>
      </c>
      <c r="L84" t="str">
        <f>IF((COUNTIFS(data_tab[Revenue],data_tab[[#This Row],[Revenue]],data_tab[Cost],data_tab[[#This Row],[Cost]]))&gt;1,"Duplicate","Unique")</f>
        <v>Unique</v>
      </c>
      <c r="M84">
        <f>data_tab[[#This Row],[Revenue]]-data_tab[[#This Row],[Cost]]</f>
        <v>145521.162612735</v>
      </c>
      <c r="N84" t="str">
        <f>IF(data_tab[[#This Row],[Revenue]]&lt;0,"Return","Sale")</f>
        <v>Sale</v>
      </c>
    </row>
    <row r="85" spans="1:14" hidden="1">
      <c r="A85" s="1">
        <v>46081</v>
      </c>
      <c r="B85">
        <f>MONTH(data_tab[[#This Row],[Order Date]])</f>
        <v>2</v>
      </c>
      <c r="C85">
        <f>YEAR(data_tab[[#This Row],[Order Date]])</f>
        <v>2026</v>
      </c>
      <c r="D85" t="s">
        <v>20</v>
      </c>
      <c r="E85" t="s">
        <v>15</v>
      </c>
      <c r="F85" t="s">
        <v>24</v>
      </c>
      <c r="G85" t="s">
        <v>33</v>
      </c>
      <c r="H85">
        <v>3</v>
      </c>
      <c r="J85">
        <v>88286.0981065784</v>
      </c>
      <c r="K85" t="str">
        <f>IF(AND(data_tab[[#This Row],[Revenue]]="",data_tab[[#This Row],[Cost]]=""),"Remove",IF(OR(data_tab[[#This Row],[Revenue]]="",data_tab[[#This Row],[Cost]]=""),"Flag","Valid"))</f>
        <v>Flag</v>
      </c>
      <c r="L85" t="str">
        <f>IF((COUNTIFS(data_tab[Revenue],data_tab[[#This Row],[Revenue]],data_tab[Cost],data_tab[[#This Row],[Cost]]))&gt;1,"Duplicate","Unique")</f>
        <v>Unique</v>
      </c>
      <c r="M85">
        <f>data_tab[[#This Row],[Revenue]]-data_tab[[#This Row],[Cost]]</f>
        <v>-88286.0981065784</v>
      </c>
      <c r="N85" t="str">
        <f>IF(data_tab[[#This Row],[Revenue]]&lt;0,"Return","Sale")</f>
        <v>Sale</v>
      </c>
    </row>
    <row r="86" spans="1:14" hidden="1">
      <c r="A86" s="1">
        <v>46114</v>
      </c>
      <c r="B86">
        <f>MONTH(data_tab[[#This Row],[Order Date]])</f>
        <v>4</v>
      </c>
      <c r="C86">
        <f>YEAR(data_tab[[#This Row],[Order Date]])</f>
        <v>2026</v>
      </c>
      <c r="D86" t="s">
        <v>40</v>
      </c>
      <c r="E86" t="s">
        <v>15</v>
      </c>
      <c r="F86" t="s">
        <v>36</v>
      </c>
      <c r="G86" t="s">
        <v>26</v>
      </c>
      <c r="H86">
        <v>3</v>
      </c>
      <c r="I86">
        <v>39420</v>
      </c>
      <c r="J86">
        <v>22470.493590631799</v>
      </c>
      <c r="K86" t="str">
        <f>IF(AND(data_tab[[#This Row],[Revenue]]="",data_tab[[#This Row],[Cost]]=""),"Remove",IF(OR(data_tab[[#This Row],[Revenue]]="",data_tab[[#This Row],[Cost]]=""),"Flag","Valid"))</f>
        <v>Valid</v>
      </c>
      <c r="L86" t="str">
        <f>IF((COUNTIFS(data_tab[Revenue],data_tab[[#This Row],[Revenue]],data_tab[Cost],data_tab[[#This Row],[Cost]]))&gt;1,"Duplicate","Unique")</f>
        <v>Unique</v>
      </c>
      <c r="M86">
        <f>data_tab[[#This Row],[Revenue]]-data_tab[[#This Row],[Cost]]</f>
        <v>16949.506409368201</v>
      </c>
      <c r="N86" t="str">
        <f>IF(data_tab[[#This Row],[Revenue]]&lt;0,"Return","Sale")</f>
        <v>Sale</v>
      </c>
    </row>
    <row r="87" spans="1:14">
      <c r="A87" s="1">
        <v>46150</v>
      </c>
      <c r="B87">
        <f>MONTH(data_tab[[#This Row],[Order Date]])</f>
        <v>5</v>
      </c>
      <c r="C87">
        <f>YEAR(data_tab[[#This Row],[Order Date]])</f>
        <v>2026</v>
      </c>
      <c r="D87" t="s">
        <v>29</v>
      </c>
      <c r="E87" t="s">
        <v>15</v>
      </c>
      <c r="F87" t="s">
        <v>16</v>
      </c>
      <c r="G87" t="s">
        <v>33</v>
      </c>
      <c r="H87">
        <v>5</v>
      </c>
      <c r="I87">
        <v>228510</v>
      </c>
      <c r="J87">
        <v>115113.962824701</v>
      </c>
      <c r="K87" t="str">
        <f>IF(AND(data_tab[[#This Row],[Revenue]]="",data_tab[[#This Row],[Cost]]=""),"Remove",IF(OR(data_tab[[#This Row],[Revenue]]="",data_tab[[#This Row],[Cost]]=""),"Flag","Valid"))</f>
        <v>Valid</v>
      </c>
      <c r="L87" t="str">
        <f>IF((COUNTIFS(data_tab[Revenue],data_tab[[#This Row],[Revenue]],data_tab[Cost],data_tab[[#This Row],[Cost]]))&gt;1,"Duplicate","Unique")</f>
        <v>Unique</v>
      </c>
      <c r="M87">
        <f>data_tab[[#This Row],[Revenue]]-data_tab[[#This Row],[Cost]]</f>
        <v>113396.037175299</v>
      </c>
      <c r="N87" t="str">
        <f>IF(data_tab[[#This Row],[Revenue]]&lt;0,"Return","Sale")</f>
        <v>Sale</v>
      </c>
    </row>
    <row r="88" spans="1:14" hidden="1">
      <c r="A88" s="1">
        <v>46297</v>
      </c>
      <c r="B88">
        <f>MONTH(data_tab[[#This Row],[Order Date]])</f>
        <v>10</v>
      </c>
      <c r="C88">
        <f>YEAR(data_tab[[#This Row],[Order Date]])</f>
        <v>2026</v>
      </c>
      <c r="D88" t="s">
        <v>35</v>
      </c>
      <c r="E88" t="s">
        <v>32</v>
      </c>
      <c r="F88" t="s">
        <v>16</v>
      </c>
      <c r="G88" t="s">
        <v>41</v>
      </c>
      <c r="H88">
        <v>7</v>
      </c>
      <c r="I88">
        <v>330680</v>
      </c>
      <c r="J88">
        <v>198420.99233885499</v>
      </c>
      <c r="K88" t="str">
        <f>IF(AND(data_tab[[#This Row],[Revenue]]="",data_tab[[#This Row],[Cost]]=""),"Remove",IF(OR(data_tab[[#This Row],[Revenue]]="",data_tab[[#This Row],[Cost]]=""),"Flag","Valid"))</f>
        <v>Valid</v>
      </c>
      <c r="L88" t="str">
        <f>IF((COUNTIFS(data_tab[Revenue],data_tab[[#This Row],[Revenue]],data_tab[Cost],data_tab[[#This Row],[Cost]]))&gt;1,"Duplicate","Unique")</f>
        <v>Unique</v>
      </c>
      <c r="M88">
        <f>data_tab[[#This Row],[Revenue]]-data_tab[[#This Row],[Cost]]</f>
        <v>132259.00766114501</v>
      </c>
      <c r="N88" t="str">
        <f>IF(data_tab[[#This Row],[Revenue]]&lt;0,"Return","Sale")</f>
        <v>Sale</v>
      </c>
    </row>
    <row r="89" spans="1:14" hidden="1">
      <c r="A89" s="1">
        <v>46117</v>
      </c>
      <c r="B89">
        <f>MONTH(data_tab[[#This Row],[Order Date]])</f>
        <v>4</v>
      </c>
      <c r="C89">
        <f>YEAR(data_tab[[#This Row],[Order Date]])</f>
        <v>2026</v>
      </c>
      <c r="D89" t="s">
        <v>29</v>
      </c>
      <c r="E89" t="s">
        <v>15</v>
      </c>
      <c r="F89" t="s">
        <v>16</v>
      </c>
      <c r="G89" t="s">
        <v>26</v>
      </c>
      <c r="H89">
        <v>5</v>
      </c>
      <c r="I89">
        <v>239135</v>
      </c>
      <c r="J89">
        <v>147807.50253195001</v>
      </c>
      <c r="K89" t="str">
        <f>IF(AND(data_tab[[#This Row],[Revenue]]="",data_tab[[#This Row],[Cost]]=""),"Remove",IF(OR(data_tab[[#This Row],[Revenue]]="",data_tab[[#This Row],[Cost]]=""),"Flag","Valid"))</f>
        <v>Valid</v>
      </c>
      <c r="L89" t="str">
        <f>IF((COUNTIFS(data_tab[Revenue],data_tab[[#This Row],[Revenue]],data_tab[Cost],data_tab[[#This Row],[Cost]]))&gt;1,"Duplicate","Unique")</f>
        <v>Unique</v>
      </c>
      <c r="M89">
        <f>data_tab[[#This Row],[Revenue]]-data_tab[[#This Row],[Cost]]</f>
        <v>91327.497468049987</v>
      </c>
      <c r="N89" t="str">
        <f>IF(data_tab[[#This Row],[Revenue]]&lt;0,"Return","Sale")</f>
        <v>Sale</v>
      </c>
    </row>
    <row r="90" spans="1:14">
      <c r="A90" s="1">
        <v>46167</v>
      </c>
      <c r="B90">
        <f>MONTH(data_tab[[#This Row],[Order Date]])</f>
        <v>5</v>
      </c>
      <c r="C90">
        <f>YEAR(data_tab[[#This Row],[Order Date]])</f>
        <v>2026</v>
      </c>
      <c r="D90" t="s">
        <v>20</v>
      </c>
      <c r="E90" t="s">
        <v>15</v>
      </c>
      <c r="F90" t="s">
        <v>36</v>
      </c>
      <c r="G90" t="s">
        <v>37</v>
      </c>
      <c r="H90">
        <v>4</v>
      </c>
      <c r="I90">
        <v>167136</v>
      </c>
      <c r="J90">
        <v>137180.67986251501</v>
      </c>
      <c r="K90" t="str">
        <f>IF(AND(data_tab[[#This Row],[Revenue]]="",data_tab[[#This Row],[Cost]]=""),"Remove",IF(OR(data_tab[[#This Row],[Revenue]]="",data_tab[[#This Row],[Cost]]=""),"Flag","Valid"))</f>
        <v>Valid</v>
      </c>
      <c r="L90" t="str">
        <f>IF((COUNTIFS(data_tab[Revenue],data_tab[[#This Row],[Revenue]],data_tab[Cost],data_tab[[#This Row],[Cost]]))&gt;1,"Duplicate","Unique")</f>
        <v>Unique</v>
      </c>
      <c r="M90">
        <f>data_tab[[#This Row],[Revenue]]-data_tab[[#This Row],[Cost]]</f>
        <v>29955.320137484989</v>
      </c>
      <c r="N90" t="str">
        <f>IF(data_tab[[#This Row],[Revenue]]&lt;0,"Return","Sale")</f>
        <v>Sale</v>
      </c>
    </row>
    <row r="91" spans="1:14" hidden="1">
      <c r="A91" s="1">
        <v>46191</v>
      </c>
      <c r="B91">
        <f>MONTH(data_tab[[#This Row],[Order Date]])</f>
        <v>6</v>
      </c>
      <c r="C91">
        <f>YEAR(data_tab[[#This Row],[Order Date]])</f>
        <v>2026</v>
      </c>
      <c r="D91" t="s">
        <v>20</v>
      </c>
      <c r="E91" t="s">
        <v>15</v>
      </c>
      <c r="F91" t="s">
        <v>24</v>
      </c>
      <c r="G91" t="s">
        <v>37</v>
      </c>
      <c r="H91">
        <v>8</v>
      </c>
      <c r="I91">
        <v>33488</v>
      </c>
      <c r="J91">
        <v>24507.507037670799</v>
      </c>
      <c r="K91" t="str">
        <f>IF(AND(data_tab[[#This Row],[Revenue]]="",data_tab[[#This Row],[Cost]]=""),"Remove",IF(OR(data_tab[[#This Row],[Revenue]]="",data_tab[[#This Row],[Cost]]=""),"Flag","Valid"))</f>
        <v>Valid</v>
      </c>
      <c r="L91" t="str">
        <f>IF((COUNTIFS(data_tab[Revenue],data_tab[[#This Row],[Revenue]],data_tab[Cost],data_tab[[#This Row],[Cost]]))&gt;1,"Duplicate","Unique")</f>
        <v>Unique</v>
      </c>
      <c r="M91">
        <f>data_tab[[#This Row],[Revenue]]-data_tab[[#This Row],[Cost]]</f>
        <v>8980.492962329201</v>
      </c>
      <c r="N91" t="str">
        <f>IF(data_tab[[#This Row],[Revenue]]&lt;0,"Return","Sale")</f>
        <v>Sale</v>
      </c>
    </row>
    <row r="92" spans="1:14" hidden="1">
      <c r="A92" s="1">
        <v>46129</v>
      </c>
      <c r="B92">
        <f>MONTH(data_tab[[#This Row],[Order Date]])</f>
        <v>4</v>
      </c>
      <c r="C92">
        <f>YEAR(data_tab[[#This Row],[Order Date]])</f>
        <v>2026</v>
      </c>
      <c r="D92" t="s">
        <v>31</v>
      </c>
      <c r="E92" t="s">
        <v>32</v>
      </c>
      <c r="F92" t="s">
        <v>16</v>
      </c>
      <c r="G92" t="s">
        <v>26</v>
      </c>
      <c r="H92">
        <v>9</v>
      </c>
      <c r="I92">
        <v>178740</v>
      </c>
      <c r="J92">
        <v>148745.47040858999</v>
      </c>
      <c r="K92" t="str">
        <f>IF(AND(data_tab[[#This Row],[Revenue]]="",data_tab[[#This Row],[Cost]]=""),"Remove",IF(OR(data_tab[[#This Row],[Revenue]]="",data_tab[[#This Row],[Cost]]=""),"Flag","Valid"))</f>
        <v>Valid</v>
      </c>
      <c r="L92" t="str">
        <f>IF((COUNTIFS(data_tab[Revenue],data_tab[[#This Row],[Revenue]],data_tab[Cost],data_tab[[#This Row],[Cost]]))&gt;1,"Duplicate","Unique")</f>
        <v>Unique</v>
      </c>
      <c r="M92">
        <f>data_tab[[#This Row],[Revenue]]-data_tab[[#This Row],[Cost]]</f>
        <v>29994.529591410013</v>
      </c>
      <c r="N92" t="str">
        <f>IF(data_tab[[#This Row],[Revenue]]&lt;0,"Return","Sale")</f>
        <v>Sale</v>
      </c>
    </row>
    <row r="93" spans="1:14" hidden="1">
      <c r="A93" s="1">
        <v>46098</v>
      </c>
      <c r="B93">
        <f>MONTH(data_tab[[#This Row],[Order Date]])</f>
        <v>3</v>
      </c>
      <c r="C93">
        <f>YEAR(data_tab[[#This Row],[Order Date]])</f>
        <v>2026</v>
      </c>
      <c r="D93" t="s">
        <v>20</v>
      </c>
      <c r="E93" t="s">
        <v>15</v>
      </c>
      <c r="F93" t="s">
        <v>36</v>
      </c>
      <c r="G93" t="s">
        <v>39</v>
      </c>
      <c r="H93">
        <v>3</v>
      </c>
      <c r="I93">
        <v>50355</v>
      </c>
      <c r="J93">
        <v>42502.451902736</v>
      </c>
      <c r="K93" t="str">
        <f>IF(AND(data_tab[[#This Row],[Revenue]]="",data_tab[[#This Row],[Cost]]=""),"Remove",IF(OR(data_tab[[#This Row],[Revenue]]="",data_tab[[#This Row],[Cost]]=""),"Flag","Valid"))</f>
        <v>Valid</v>
      </c>
      <c r="L93" t="str">
        <f>IF((COUNTIFS(data_tab[Revenue],data_tab[[#This Row],[Revenue]],data_tab[Cost],data_tab[[#This Row],[Cost]]))&gt;1,"Duplicate","Unique")</f>
        <v>Unique</v>
      </c>
      <c r="M93">
        <f>data_tab[[#This Row],[Revenue]]-data_tab[[#This Row],[Cost]]</f>
        <v>7852.5480972639998</v>
      </c>
      <c r="N93" t="str">
        <f>IF(data_tab[[#This Row],[Revenue]]&lt;0,"Return","Sale")</f>
        <v>Sale</v>
      </c>
    </row>
    <row r="94" spans="1:14">
      <c r="A94" s="1">
        <v>46165</v>
      </c>
      <c r="B94">
        <f>MONTH(data_tab[[#This Row],[Order Date]])</f>
        <v>5</v>
      </c>
      <c r="C94">
        <f>YEAR(data_tab[[#This Row],[Order Date]])</f>
        <v>2026</v>
      </c>
      <c r="D94" t="s">
        <v>20</v>
      </c>
      <c r="E94" t="s">
        <v>15</v>
      </c>
      <c r="F94" t="s">
        <v>16</v>
      </c>
      <c r="G94" t="s">
        <v>26</v>
      </c>
      <c r="H94">
        <v>2</v>
      </c>
      <c r="I94">
        <v>63608</v>
      </c>
      <c r="J94">
        <v>41181.998629299604</v>
      </c>
      <c r="K94" t="str">
        <f>IF(AND(data_tab[[#This Row],[Revenue]]="",data_tab[[#This Row],[Cost]]=""),"Remove",IF(OR(data_tab[[#This Row],[Revenue]]="",data_tab[[#This Row],[Cost]]=""),"Flag","Valid"))</f>
        <v>Valid</v>
      </c>
      <c r="L94" t="str">
        <f>IF((COUNTIFS(data_tab[Revenue],data_tab[[#This Row],[Revenue]],data_tab[Cost],data_tab[[#This Row],[Cost]]))&gt;1,"Duplicate","Unique")</f>
        <v>Unique</v>
      </c>
      <c r="M94">
        <f>data_tab[[#This Row],[Revenue]]-data_tab[[#This Row],[Cost]]</f>
        <v>22426.001370700396</v>
      </c>
      <c r="N94" t="str">
        <f>IF(data_tab[[#This Row],[Revenue]]&lt;0,"Return","Sale")</f>
        <v>Sale</v>
      </c>
    </row>
    <row r="95" spans="1:14" hidden="1">
      <c r="A95" s="1">
        <v>46186</v>
      </c>
      <c r="B95">
        <f>MONTH(data_tab[[#This Row],[Order Date]])</f>
        <v>6</v>
      </c>
      <c r="C95">
        <f>YEAR(data_tab[[#This Row],[Order Date]])</f>
        <v>2026</v>
      </c>
      <c r="D95" t="s">
        <v>31</v>
      </c>
      <c r="E95" t="s">
        <v>32</v>
      </c>
      <c r="F95" t="s">
        <v>36</v>
      </c>
      <c r="G95" t="s">
        <v>39</v>
      </c>
      <c r="H95">
        <v>10</v>
      </c>
      <c r="I95">
        <v>387920</v>
      </c>
      <c r="J95">
        <v>244856.07873703801</v>
      </c>
      <c r="K95" t="str">
        <f>IF(AND(data_tab[[#This Row],[Revenue]]="",data_tab[[#This Row],[Cost]]=""),"Remove",IF(OR(data_tab[[#This Row],[Revenue]]="",data_tab[[#This Row],[Cost]]=""),"Flag","Valid"))</f>
        <v>Valid</v>
      </c>
      <c r="L95" t="str">
        <f>IF((COUNTIFS(data_tab[Revenue],data_tab[[#This Row],[Revenue]],data_tab[Cost],data_tab[[#This Row],[Cost]]))&gt;1,"Duplicate","Unique")</f>
        <v>Unique</v>
      </c>
      <c r="M95">
        <f>data_tab[[#This Row],[Revenue]]-data_tab[[#This Row],[Cost]]</f>
        <v>143063.92126296199</v>
      </c>
      <c r="N95" t="str">
        <f>IF(data_tab[[#This Row],[Revenue]]&lt;0,"Return","Sale")</f>
        <v>Sale</v>
      </c>
    </row>
    <row r="96" spans="1:14" hidden="1">
      <c r="A96" s="1">
        <v>46141</v>
      </c>
      <c r="B96">
        <f>MONTH(data_tab[[#This Row],[Order Date]])</f>
        <v>4</v>
      </c>
      <c r="C96">
        <f>YEAR(data_tab[[#This Row],[Order Date]])</f>
        <v>2026</v>
      </c>
      <c r="D96" t="s">
        <v>29</v>
      </c>
      <c r="E96" t="s">
        <v>15</v>
      </c>
      <c r="F96" t="s">
        <v>24</v>
      </c>
      <c r="G96" t="s">
        <v>17</v>
      </c>
      <c r="H96">
        <v>1</v>
      </c>
      <c r="I96">
        <v>4438</v>
      </c>
      <c r="J96">
        <v>2759.3080101487799</v>
      </c>
      <c r="K96" t="str">
        <f>IF(AND(data_tab[[#This Row],[Revenue]]="",data_tab[[#This Row],[Cost]]=""),"Remove",IF(OR(data_tab[[#This Row],[Revenue]]="",data_tab[[#This Row],[Cost]]=""),"Flag","Valid"))</f>
        <v>Valid</v>
      </c>
      <c r="L96" t="str">
        <f>IF((COUNTIFS(data_tab[Revenue],data_tab[[#This Row],[Revenue]],data_tab[Cost],data_tab[[#This Row],[Cost]]))&gt;1,"Duplicate","Unique")</f>
        <v>Unique</v>
      </c>
      <c r="M96">
        <f>data_tab[[#This Row],[Revenue]]-data_tab[[#This Row],[Cost]]</f>
        <v>1678.6919898512201</v>
      </c>
      <c r="N96" t="str">
        <f>IF(data_tab[[#This Row],[Revenue]]&lt;0,"Return","Sale")</f>
        <v>Sale</v>
      </c>
    </row>
    <row r="97" spans="1:14" hidden="1">
      <c r="A97" s="1">
        <v>46057</v>
      </c>
      <c r="B97">
        <f>MONTH(data_tab[[#This Row],[Order Date]])</f>
        <v>2</v>
      </c>
      <c r="C97">
        <f>YEAR(data_tab[[#This Row],[Order Date]])</f>
        <v>2026</v>
      </c>
      <c r="D97" t="s">
        <v>14</v>
      </c>
      <c r="E97" t="s">
        <v>15</v>
      </c>
      <c r="F97" t="s">
        <v>36</v>
      </c>
      <c r="G97" t="s">
        <v>26</v>
      </c>
      <c r="H97">
        <v>3</v>
      </c>
      <c r="I97">
        <v>87567</v>
      </c>
      <c r="J97">
        <v>66723.318319123995</v>
      </c>
      <c r="K97" t="str">
        <f>IF(AND(data_tab[[#This Row],[Revenue]]="",data_tab[[#This Row],[Cost]]=""),"Remove",IF(OR(data_tab[[#This Row],[Revenue]]="",data_tab[[#This Row],[Cost]]=""),"Flag","Valid"))</f>
        <v>Valid</v>
      </c>
      <c r="L97" t="str">
        <f>IF((COUNTIFS(data_tab[Revenue],data_tab[[#This Row],[Revenue]],data_tab[Cost],data_tab[[#This Row],[Cost]]))&gt;1,"Duplicate","Unique")</f>
        <v>Unique</v>
      </c>
      <c r="M97">
        <f>data_tab[[#This Row],[Revenue]]-data_tab[[#This Row],[Cost]]</f>
        <v>20843.681680876005</v>
      </c>
      <c r="N97" t="str">
        <f>IF(data_tab[[#This Row],[Revenue]]&lt;0,"Return","Sale")</f>
        <v>Sale</v>
      </c>
    </row>
    <row r="98" spans="1:14" hidden="1">
      <c r="A98" s="1">
        <v>46094</v>
      </c>
      <c r="B98">
        <f>MONTH(data_tab[[#This Row],[Order Date]])</f>
        <v>3</v>
      </c>
      <c r="C98">
        <f>YEAR(data_tab[[#This Row],[Order Date]])</f>
        <v>2026</v>
      </c>
      <c r="D98" t="s">
        <v>35</v>
      </c>
      <c r="E98" t="s">
        <v>32</v>
      </c>
      <c r="F98" t="s">
        <v>21</v>
      </c>
      <c r="G98" t="s">
        <v>33</v>
      </c>
      <c r="H98">
        <v>8</v>
      </c>
      <c r="I98">
        <v>139784</v>
      </c>
      <c r="J98">
        <v>117723.29992843101</v>
      </c>
      <c r="K98" t="str">
        <f>IF(AND(data_tab[[#This Row],[Revenue]]="",data_tab[[#This Row],[Cost]]=""),"Remove",IF(OR(data_tab[[#This Row],[Revenue]]="",data_tab[[#This Row],[Cost]]=""),"Flag","Valid"))</f>
        <v>Valid</v>
      </c>
      <c r="L98" t="str">
        <f>IF((COUNTIFS(data_tab[Revenue],data_tab[[#This Row],[Revenue]],data_tab[Cost],data_tab[[#This Row],[Cost]]))&gt;1,"Duplicate","Unique")</f>
        <v>Duplicate</v>
      </c>
      <c r="M98">
        <f>data_tab[[#This Row],[Revenue]]-data_tab[[#This Row],[Cost]]</f>
        <v>22060.700071568994</v>
      </c>
      <c r="N98" t="str">
        <f>IF(data_tab[[#This Row],[Revenue]]&lt;0,"Return","Sale")</f>
        <v>Sale</v>
      </c>
    </row>
    <row r="99" spans="1:14" hidden="1">
      <c r="A99" s="1">
        <v>46188</v>
      </c>
      <c r="B99">
        <f>MONTH(data_tab[[#This Row],[Order Date]])</f>
        <v>6</v>
      </c>
      <c r="C99">
        <f>YEAR(data_tab[[#This Row],[Order Date]])</f>
        <v>2026</v>
      </c>
      <c r="D99" t="s">
        <v>31</v>
      </c>
      <c r="E99" t="s">
        <v>32</v>
      </c>
      <c r="F99" t="s">
        <v>24</v>
      </c>
      <c r="G99" t="s">
        <v>33</v>
      </c>
      <c r="H99">
        <v>2</v>
      </c>
      <c r="I99">
        <v>90870</v>
      </c>
      <c r="J99">
        <v>53144.622179006503</v>
      </c>
      <c r="K99" t="str">
        <f>IF(AND(data_tab[[#This Row],[Revenue]]="",data_tab[[#This Row],[Cost]]=""),"Remove",IF(OR(data_tab[[#This Row],[Revenue]]="",data_tab[[#This Row],[Cost]]=""),"Flag","Valid"))</f>
        <v>Valid</v>
      </c>
      <c r="L99" t="str">
        <f>IF((COUNTIFS(data_tab[Revenue],data_tab[[#This Row],[Revenue]],data_tab[Cost],data_tab[[#This Row],[Cost]]))&gt;1,"Duplicate","Unique")</f>
        <v>Unique</v>
      </c>
      <c r="M99">
        <f>data_tab[[#This Row],[Revenue]]-data_tab[[#This Row],[Cost]]</f>
        <v>37725.377820993497</v>
      </c>
      <c r="N99" t="str">
        <f>IF(data_tab[[#This Row],[Revenue]]&lt;0,"Return","Sale")</f>
        <v>Sale</v>
      </c>
    </row>
    <row r="100" spans="1:14" hidden="1">
      <c r="A100" s="1">
        <v>46108</v>
      </c>
      <c r="B100">
        <f>MONTH(data_tab[[#This Row],[Order Date]])</f>
        <v>3</v>
      </c>
      <c r="C100">
        <f>YEAR(data_tab[[#This Row],[Order Date]])</f>
        <v>2026</v>
      </c>
      <c r="D100" t="s">
        <v>40</v>
      </c>
      <c r="E100" t="s">
        <v>15</v>
      </c>
      <c r="F100" t="s">
        <v>21</v>
      </c>
      <c r="G100" t="s">
        <v>39</v>
      </c>
      <c r="H100">
        <v>9</v>
      </c>
      <c r="I100">
        <v>140184</v>
      </c>
      <c r="J100">
        <v>102972.610475519</v>
      </c>
      <c r="K100" t="str">
        <f>IF(AND(data_tab[[#This Row],[Revenue]]="",data_tab[[#This Row],[Cost]]=""),"Remove",IF(OR(data_tab[[#This Row],[Revenue]]="",data_tab[[#This Row],[Cost]]=""),"Flag","Valid"))</f>
        <v>Valid</v>
      </c>
      <c r="L100" t="str">
        <f>IF((COUNTIFS(data_tab[Revenue],data_tab[[#This Row],[Revenue]],data_tab[Cost],data_tab[[#This Row],[Cost]]))&gt;1,"Duplicate","Unique")</f>
        <v>Unique</v>
      </c>
      <c r="M100">
        <f>data_tab[[#This Row],[Revenue]]-data_tab[[#This Row],[Cost]]</f>
        <v>37211.389524480997</v>
      </c>
      <c r="N100" t="str">
        <f>IF(data_tab[[#This Row],[Revenue]]&lt;0,"Return","Sale")</f>
        <v>Sale</v>
      </c>
    </row>
    <row r="101" spans="1:14" hidden="1">
      <c r="A101" s="1">
        <v>46059</v>
      </c>
      <c r="B101">
        <f>MONTH(data_tab[[#This Row],[Order Date]])</f>
        <v>2</v>
      </c>
      <c r="C101">
        <f>YEAR(data_tab[[#This Row],[Order Date]])</f>
        <v>2026</v>
      </c>
      <c r="D101" t="s">
        <v>23</v>
      </c>
      <c r="E101" t="s">
        <v>15</v>
      </c>
      <c r="F101" t="s">
        <v>21</v>
      </c>
      <c r="G101" t="s">
        <v>17</v>
      </c>
      <c r="H101">
        <v>9</v>
      </c>
      <c r="I101">
        <v>165834</v>
      </c>
      <c r="J101">
        <v>135885.29656634101</v>
      </c>
      <c r="K101" t="str">
        <f>IF(AND(data_tab[[#This Row],[Revenue]]="",data_tab[[#This Row],[Cost]]=""),"Remove",IF(OR(data_tab[[#This Row],[Revenue]]="",data_tab[[#This Row],[Cost]]=""),"Flag","Valid"))</f>
        <v>Valid</v>
      </c>
      <c r="L101" t="str">
        <f>IF((COUNTIFS(data_tab[Revenue],data_tab[[#This Row],[Revenue]],data_tab[Cost],data_tab[[#This Row],[Cost]]))&gt;1,"Duplicate","Unique")</f>
        <v>Unique</v>
      </c>
      <c r="M101">
        <f>data_tab[[#This Row],[Revenue]]-data_tab[[#This Row],[Cost]]</f>
        <v>29948.703433658986</v>
      </c>
      <c r="N101" t="str">
        <f>IF(data_tab[[#This Row],[Revenue]]&lt;0,"Return","Sale")</f>
        <v>Sale</v>
      </c>
    </row>
    <row r="102" spans="1:14" hidden="1">
      <c r="A102" s="1">
        <v>46114</v>
      </c>
      <c r="B102">
        <f>MONTH(data_tab[[#This Row],[Order Date]])</f>
        <v>4</v>
      </c>
      <c r="C102">
        <f>YEAR(data_tab[[#This Row],[Order Date]])</f>
        <v>2026</v>
      </c>
      <c r="D102" t="s">
        <v>35</v>
      </c>
      <c r="E102" t="s">
        <v>32</v>
      </c>
      <c r="F102" t="s">
        <v>24</v>
      </c>
      <c r="G102" t="s">
        <v>17</v>
      </c>
      <c r="H102">
        <v>5</v>
      </c>
      <c r="I102">
        <v>27170</v>
      </c>
      <c r="J102">
        <v>14962.611853070401</v>
      </c>
      <c r="K102" t="str">
        <f>IF(AND(data_tab[[#This Row],[Revenue]]="",data_tab[[#This Row],[Cost]]=""),"Remove",IF(OR(data_tab[[#This Row],[Revenue]]="",data_tab[[#This Row],[Cost]]=""),"Flag","Valid"))</f>
        <v>Valid</v>
      </c>
      <c r="L102" t="str">
        <f>IF((COUNTIFS(data_tab[Revenue],data_tab[[#This Row],[Revenue]],data_tab[Cost],data_tab[[#This Row],[Cost]]))&gt;1,"Duplicate","Unique")</f>
        <v>Unique</v>
      </c>
      <c r="M102">
        <f>data_tab[[#This Row],[Revenue]]-data_tab[[#This Row],[Cost]]</f>
        <v>12207.388146929599</v>
      </c>
      <c r="N102" t="str">
        <f>IF(data_tab[[#This Row],[Revenue]]&lt;0,"Return","Sale")</f>
        <v>Sale</v>
      </c>
    </row>
    <row r="103" spans="1:14" hidden="1">
      <c r="A103" s="1">
        <v>46137</v>
      </c>
      <c r="B103">
        <f>MONTH(data_tab[[#This Row],[Order Date]])</f>
        <v>4</v>
      </c>
      <c r="C103">
        <f>YEAR(data_tab[[#This Row],[Order Date]])</f>
        <v>2026</v>
      </c>
      <c r="D103" t="s">
        <v>20</v>
      </c>
      <c r="E103" t="s">
        <v>15</v>
      </c>
      <c r="F103" t="s">
        <v>36</v>
      </c>
      <c r="G103" t="s">
        <v>26</v>
      </c>
      <c r="H103">
        <v>4</v>
      </c>
      <c r="I103">
        <v>169244</v>
      </c>
      <c r="J103">
        <v>87557.708921985293</v>
      </c>
      <c r="K103" t="str">
        <f>IF(AND(data_tab[[#This Row],[Revenue]]="",data_tab[[#This Row],[Cost]]=""),"Remove",IF(OR(data_tab[[#This Row],[Revenue]]="",data_tab[[#This Row],[Cost]]=""),"Flag","Valid"))</f>
        <v>Valid</v>
      </c>
      <c r="L103" t="str">
        <f>IF((COUNTIFS(data_tab[Revenue],data_tab[[#This Row],[Revenue]],data_tab[Cost],data_tab[[#This Row],[Cost]]))&gt;1,"Duplicate","Unique")</f>
        <v>Duplicate</v>
      </c>
      <c r="M103">
        <f>data_tab[[#This Row],[Revenue]]-data_tab[[#This Row],[Cost]]</f>
        <v>81686.291078014707</v>
      </c>
      <c r="N103" t="str">
        <f>IF(data_tab[[#This Row],[Revenue]]&lt;0,"Return","Sale")</f>
        <v>Sale</v>
      </c>
    </row>
    <row r="104" spans="1:14" hidden="1">
      <c r="A104" s="1">
        <v>46140</v>
      </c>
      <c r="B104">
        <f>MONTH(data_tab[[#This Row],[Order Date]])</f>
        <v>4</v>
      </c>
      <c r="C104">
        <f>YEAR(data_tab[[#This Row],[Order Date]])</f>
        <v>2026</v>
      </c>
      <c r="D104" t="s">
        <v>29</v>
      </c>
      <c r="E104" t="s">
        <v>15</v>
      </c>
      <c r="F104" t="s">
        <v>36</v>
      </c>
      <c r="G104" t="s">
        <v>33</v>
      </c>
      <c r="H104">
        <v>2</v>
      </c>
      <c r="I104">
        <v>68260</v>
      </c>
      <c r="J104">
        <v>53581.405501950299</v>
      </c>
      <c r="K104" t="str">
        <f>IF(AND(data_tab[[#This Row],[Revenue]]="",data_tab[[#This Row],[Cost]]=""),"Remove",IF(OR(data_tab[[#This Row],[Revenue]]="",data_tab[[#This Row],[Cost]]=""),"Flag","Valid"))</f>
        <v>Valid</v>
      </c>
      <c r="L104" t="str">
        <f>IF((COUNTIFS(data_tab[Revenue],data_tab[[#This Row],[Revenue]],data_tab[Cost],data_tab[[#This Row],[Cost]]))&gt;1,"Duplicate","Unique")</f>
        <v>Unique</v>
      </c>
      <c r="M104">
        <f>data_tab[[#This Row],[Revenue]]-data_tab[[#This Row],[Cost]]</f>
        <v>14678.594498049701</v>
      </c>
      <c r="N104" t="str">
        <f>IF(data_tab[[#This Row],[Revenue]]&lt;0,"Return","Sale")</f>
        <v>Sale</v>
      </c>
    </row>
    <row r="105" spans="1:14" hidden="1">
      <c r="A105" s="1">
        <v>46205</v>
      </c>
      <c r="B105">
        <f>MONTH(data_tab[[#This Row],[Order Date]])</f>
        <v>7</v>
      </c>
      <c r="C105">
        <f>YEAR(data_tab[[#This Row],[Order Date]])</f>
        <v>2026</v>
      </c>
      <c r="D105" t="s">
        <v>35</v>
      </c>
      <c r="E105" t="s">
        <v>32</v>
      </c>
      <c r="F105" t="s">
        <v>16</v>
      </c>
      <c r="G105" t="s">
        <v>33</v>
      </c>
      <c r="H105">
        <v>10</v>
      </c>
      <c r="I105">
        <v>367700</v>
      </c>
      <c r="J105">
        <v>227223.56047430899</v>
      </c>
      <c r="K105" t="str">
        <f>IF(AND(data_tab[[#This Row],[Revenue]]="",data_tab[[#This Row],[Cost]]=""),"Remove",IF(OR(data_tab[[#This Row],[Revenue]]="",data_tab[[#This Row],[Cost]]=""),"Flag","Valid"))</f>
        <v>Valid</v>
      </c>
      <c r="L105" t="str">
        <f>IF((COUNTIFS(data_tab[Revenue],data_tab[[#This Row],[Revenue]],data_tab[Cost],data_tab[[#This Row],[Cost]]))&gt;1,"Duplicate","Unique")</f>
        <v>Unique</v>
      </c>
      <c r="M105">
        <f>data_tab[[#This Row],[Revenue]]-data_tab[[#This Row],[Cost]]</f>
        <v>140476.43952569101</v>
      </c>
      <c r="N105" t="str">
        <f>IF(data_tab[[#This Row],[Revenue]]&lt;0,"Return","Sale")</f>
        <v>Sale</v>
      </c>
    </row>
    <row r="106" spans="1:14" hidden="1">
      <c r="A106" s="1">
        <v>46052</v>
      </c>
      <c r="B106">
        <f>MONTH(data_tab[[#This Row],[Order Date]])</f>
        <v>1</v>
      </c>
      <c r="C106">
        <f>YEAR(data_tab[[#This Row],[Order Date]])</f>
        <v>2026</v>
      </c>
      <c r="D106" t="s">
        <v>23</v>
      </c>
      <c r="E106" t="s">
        <v>15</v>
      </c>
      <c r="F106" t="s">
        <v>21</v>
      </c>
      <c r="G106" t="s">
        <v>33</v>
      </c>
      <c r="H106">
        <v>8</v>
      </c>
      <c r="I106">
        <v>135792</v>
      </c>
      <c r="J106">
        <v>90373.028982902106</v>
      </c>
      <c r="K106" t="str">
        <f>IF(AND(data_tab[[#This Row],[Revenue]]="",data_tab[[#This Row],[Cost]]=""),"Remove",IF(OR(data_tab[[#This Row],[Revenue]]="",data_tab[[#This Row],[Cost]]=""),"Flag","Valid"))</f>
        <v>Valid</v>
      </c>
      <c r="L106" t="str">
        <f>IF((COUNTIFS(data_tab[Revenue],data_tab[[#This Row],[Revenue]],data_tab[Cost],data_tab[[#This Row],[Cost]]))&gt;1,"Duplicate","Unique")</f>
        <v>Unique</v>
      </c>
      <c r="M106">
        <f>data_tab[[#This Row],[Revenue]]-data_tab[[#This Row],[Cost]]</f>
        <v>45418.971017097894</v>
      </c>
      <c r="N106" t="str">
        <f>IF(data_tab[[#This Row],[Revenue]]&lt;0,"Return","Sale")</f>
        <v>Sale</v>
      </c>
    </row>
    <row r="107" spans="1:14" hidden="1">
      <c r="A107" s="1">
        <v>46103</v>
      </c>
      <c r="B107">
        <f>MONTH(data_tab[[#This Row],[Order Date]])</f>
        <v>3</v>
      </c>
      <c r="C107">
        <f>YEAR(data_tab[[#This Row],[Order Date]])</f>
        <v>2026</v>
      </c>
      <c r="D107" t="s">
        <v>35</v>
      </c>
      <c r="E107" t="s">
        <v>32</v>
      </c>
      <c r="F107" t="s">
        <v>21</v>
      </c>
      <c r="G107" t="s">
        <v>41</v>
      </c>
      <c r="H107">
        <v>8</v>
      </c>
      <c r="I107">
        <v>51192</v>
      </c>
      <c r="J107">
        <v>27463.9917464139</v>
      </c>
      <c r="K107" t="str">
        <f>IF(AND(data_tab[[#This Row],[Revenue]]="",data_tab[[#This Row],[Cost]]=""),"Remove",IF(OR(data_tab[[#This Row],[Revenue]]="",data_tab[[#This Row],[Cost]]=""),"Flag","Valid"))</f>
        <v>Valid</v>
      </c>
      <c r="L107" t="str">
        <f>IF((COUNTIFS(data_tab[Revenue],data_tab[[#This Row],[Revenue]],data_tab[Cost],data_tab[[#This Row],[Cost]]))&gt;1,"Duplicate","Unique")</f>
        <v>Unique</v>
      </c>
      <c r="M107">
        <f>data_tab[[#This Row],[Revenue]]-data_tab[[#This Row],[Cost]]</f>
        <v>23728.0082535861</v>
      </c>
      <c r="N107" t="str">
        <f>IF(data_tab[[#This Row],[Revenue]]&lt;0,"Return","Sale")</f>
        <v>Sale</v>
      </c>
    </row>
    <row r="108" spans="1:14" hidden="1">
      <c r="A108" s="1">
        <v>46118</v>
      </c>
      <c r="B108">
        <f>MONTH(data_tab[[#This Row],[Order Date]])</f>
        <v>4</v>
      </c>
      <c r="C108">
        <f>YEAR(data_tab[[#This Row],[Order Date]])</f>
        <v>2026</v>
      </c>
      <c r="D108" t="s">
        <v>40</v>
      </c>
      <c r="E108" t="s">
        <v>15</v>
      </c>
      <c r="F108" t="s">
        <v>16</v>
      </c>
      <c r="G108" t="s">
        <v>41</v>
      </c>
      <c r="H108">
        <v>2</v>
      </c>
      <c r="I108">
        <v>57844</v>
      </c>
      <c r="J108">
        <v>37103.410927334196</v>
      </c>
      <c r="K108" t="str">
        <f>IF(AND(data_tab[[#This Row],[Revenue]]="",data_tab[[#This Row],[Cost]]=""),"Remove",IF(OR(data_tab[[#This Row],[Revenue]]="",data_tab[[#This Row],[Cost]]=""),"Flag","Valid"))</f>
        <v>Valid</v>
      </c>
      <c r="L108" t="str">
        <f>IF((COUNTIFS(data_tab[Revenue],data_tab[[#This Row],[Revenue]],data_tab[Cost],data_tab[[#This Row],[Cost]]))&gt;1,"Duplicate","Unique")</f>
        <v>Unique</v>
      </c>
      <c r="M108">
        <f>data_tab[[#This Row],[Revenue]]-data_tab[[#This Row],[Cost]]</f>
        <v>20740.589072665804</v>
      </c>
      <c r="N108" t="str">
        <f>IF(data_tab[[#This Row],[Revenue]]&lt;0,"Return","Sale")</f>
        <v>Sale</v>
      </c>
    </row>
    <row r="109" spans="1:14" hidden="1">
      <c r="A109" s="1">
        <v>46036</v>
      </c>
      <c r="B109">
        <f>MONTH(data_tab[[#This Row],[Order Date]])</f>
        <v>1</v>
      </c>
      <c r="C109">
        <f>YEAR(data_tab[[#This Row],[Order Date]])</f>
        <v>2026</v>
      </c>
      <c r="D109" t="s">
        <v>35</v>
      </c>
      <c r="E109" t="s">
        <v>32</v>
      </c>
      <c r="F109" t="s">
        <v>24</v>
      </c>
      <c r="G109" t="s">
        <v>26</v>
      </c>
      <c r="H109">
        <v>9</v>
      </c>
      <c r="I109">
        <v>143478</v>
      </c>
      <c r="J109">
        <v>80619.150468716602</v>
      </c>
      <c r="K109" t="str">
        <f>IF(AND(data_tab[[#This Row],[Revenue]]="",data_tab[[#This Row],[Cost]]=""),"Remove",IF(OR(data_tab[[#This Row],[Revenue]]="",data_tab[[#This Row],[Cost]]=""),"Flag","Valid"))</f>
        <v>Valid</v>
      </c>
      <c r="L109" t="str">
        <f>IF((COUNTIFS(data_tab[Revenue],data_tab[[#This Row],[Revenue]],data_tab[Cost],data_tab[[#This Row],[Cost]]))&gt;1,"Duplicate","Unique")</f>
        <v>Unique</v>
      </c>
      <c r="M109">
        <f>data_tab[[#This Row],[Revenue]]-data_tab[[#This Row],[Cost]]</f>
        <v>62858.849531283398</v>
      </c>
      <c r="N109" t="str">
        <f>IF(data_tab[[#This Row],[Revenue]]&lt;0,"Return","Sale")</f>
        <v>Sale</v>
      </c>
    </row>
    <row r="110" spans="1:14">
      <c r="A110" s="1">
        <v>46165</v>
      </c>
      <c r="B110">
        <f>MONTH(data_tab[[#This Row],[Order Date]])</f>
        <v>5</v>
      </c>
      <c r="C110">
        <f>YEAR(data_tab[[#This Row],[Order Date]])</f>
        <v>2026</v>
      </c>
      <c r="D110" t="s">
        <v>40</v>
      </c>
      <c r="E110" t="s">
        <v>15</v>
      </c>
      <c r="F110" t="s">
        <v>21</v>
      </c>
      <c r="G110" t="s">
        <v>33</v>
      </c>
      <c r="H110">
        <v>9</v>
      </c>
      <c r="I110">
        <v>384705</v>
      </c>
      <c r="K110" t="str">
        <f>IF(AND(data_tab[[#This Row],[Revenue]]="",data_tab[[#This Row],[Cost]]=""),"Remove",IF(OR(data_tab[[#This Row],[Revenue]]="",data_tab[[#This Row],[Cost]]=""),"Flag","Valid"))</f>
        <v>Flag</v>
      </c>
      <c r="L110" t="str">
        <f>IF((COUNTIFS(data_tab[Revenue],data_tab[[#This Row],[Revenue]],data_tab[Cost],data_tab[[#This Row],[Cost]]))&gt;1,"Duplicate","Unique")</f>
        <v>Unique</v>
      </c>
      <c r="M110">
        <f>data_tab[[#This Row],[Revenue]]-data_tab[[#This Row],[Cost]]</f>
        <v>384705</v>
      </c>
      <c r="N110" t="str">
        <f>IF(data_tab[[#This Row],[Revenue]]&lt;0,"Return","Sale")</f>
        <v>Sale</v>
      </c>
    </row>
    <row r="111" spans="1:14" hidden="1">
      <c r="A111" s="1">
        <v>46200</v>
      </c>
      <c r="B111">
        <f>MONTH(data_tab[[#This Row],[Order Date]])</f>
        <v>6</v>
      </c>
      <c r="C111">
        <f>YEAR(data_tab[[#This Row],[Order Date]])</f>
        <v>2026</v>
      </c>
      <c r="D111" t="s">
        <v>14</v>
      </c>
      <c r="E111" t="s">
        <v>15</v>
      </c>
      <c r="F111" t="s">
        <v>16</v>
      </c>
      <c r="G111" t="s">
        <v>37</v>
      </c>
      <c r="H111">
        <v>6</v>
      </c>
      <c r="I111">
        <v>14400</v>
      </c>
      <c r="J111">
        <v>8244.8960153043899</v>
      </c>
      <c r="K111" t="str">
        <f>IF(AND(data_tab[[#This Row],[Revenue]]="",data_tab[[#This Row],[Cost]]=""),"Remove",IF(OR(data_tab[[#This Row],[Revenue]]="",data_tab[[#This Row],[Cost]]=""),"Flag","Valid"))</f>
        <v>Valid</v>
      </c>
      <c r="L111" t="str">
        <f>IF((COUNTIFS(data_tab[Revenue],data_tab[[#This Row],[Revenue]],data_tab[Cost],data_tab[[#This Row],[Cost]]))&gt;1,"Duplicate","Unique")</f>
        <v>Unique</v>
      </c>
      <c r="M111">
        <f>data_tab[[#This Row],[Revenue]]-data_tab[[#This Row],[Cost]]</f>
        <v>6155.1039846956101</v>
      </c>
      <c r="N111" t="str">
        <f>IF(data_tab[[#This Row],[Revenue]]&lt;0,"Return","Sale")</f>
        <v>Sale</v>
      </c>
    </row>
    <row r="112" spans="1:14" hidden="1">
      <c r="A112" s="1">
        <v>46185</v>
      </c>
      <c r="B112">
        <f>MONTH(data_tab[[#This Row],[Order Date]])</f>
        <v>6</v>
      </c>
      <c r="C112">
        <f>YEAR(data_tab[[#This Row],[Order Date]])</f>
        <v>2026</v>
      </c>
      <c r="D112" t="s">
        <v>40</v>
      </c>
      <c r="E112" t="s">
        <v>15</v>
      </c>
      <c r="F112" t="s">
        <v>21</v>
      </c>
      <c r="G112" t="s">
        <v>33</v>
      </c>
      <c r="H112">
        <v>7</v>
      </c>
      <c r="I112">
        <v>222110</v>
      </c>
      <c r="J112">
        <v>141341.56260431401</v>
      </c>
      <c r="K112" t="str">
        <f>IF(AND(data_tab[[#This Row],[Revenue]]="",data_tab[[#This Row],[Cost]]=""),"Remove",IF(OR(data_tab[[#This Row],[Revenue]]="",data_tab[[#This Row],[Cost]]=""),"Flag","Valid"))</f>
        <v>Valid</v>
      </c>
      <c r="L112" t="str">
        <f>IF((COUNTIFS(data_tab[Revenue],data_tab[[#This Row],[Revenue]],data_tab[Cost],data_tab[[#This Row],[Cost]]))&gt;1,"Duplicate","Unique")</f>
        <v>Unique</v>
      </c>
      <c r="M112">
        <f>data_tab[[#This Row],[Revenue]]-data_tab[[#This Row],[Cost]]</f>
        <v>80768.437395685993</v>
      </c>
      <c r="N112" t="str">
        <f>IF(data_tab[[#This Row],[Revenue]]&lt;0,"Return","Sale")</f>
        <v>Sale</v>
      </c>
    </row>
    <row r="113" spans="1:14">
      <c r="A113" s="1">
        <v>46168</v>
      </c>
      <c r="B113">
        <f>MONTH(data_tab[[#This Row],[Order Date]])</f>
        <v>5</v>
      </c>
      <c r="C113">
        <f>YEAR(data_tab[[#This Row],[Order Date]])</f>
        <v>2026</v>
      </c>
      <c r="D113" t="s">
        <v>31</v>
      </c>
      <c r="E113" t="s">
        <v>32</v>
      </c>
      <c r="F113" t="s">
        <v>21</v>
      </c>
      <c r="G113" t="s">
        <v>26</v>
      </c>
      <c r="H113">
        <v>1</v>
      </c>
      <c r="I113">
        <v>46169</v>
      </c>
      <c r="J113">
        <v>24591.1150178483</v>
      </c>
      <c r="K113" t="str">
        <f>IF(AND(data_tab[[#This Row],[Revenue]]="",data_tab[[#This Row],[Cost]]=""),"Remove",IF(OR(data_tab[[#This Row],[Revenue]]="",data_tab[[#This Row],[Cost]]=""),"Flag","Valid"))</f>
        <v>Valid</v>
      </c>
      <c r="L113" t="str">
        <f>IF((COUNTIFS(data_tab[Revenue],data_tab[[#This Row],[Revenue]],data_tab[Cost],data_tab[[#This Row],[Cost]]))&gt;1,"Duplicate","Unique")</f>
        <v>Unique</v>
      </c>
      <c r="M113">
        <f>data_tab[[#This Row],[Revenue]]-data_tab[[#This Row],[Cost]]</f>
        <v>21577.8849821517</v>
      </c>
      <c r="N113" t="str">
        <f>IF(data_tab[[#This Row],[Revenue]]&lt;0,"Return","Sale")</f>
        <v>Sale</v>
      </c>
    </row>
    <row r="114" spans="1:14" hidden="1">
      <c r="A114" s="1">
        <v>46129</v>
      </c>
      <c r="B114">
        <f>MONTH(data_tab[[#This Row],[Order Date]])</f>
        <v>4</v>
      </c>
      <c r="C114">
        <f>YEAR(data_tab[[#This Row],[Order Date]])</f>
        <v>2026</v>
      </c>
      <c r="D114" t="s">
        <v>20</v>
      </c>
      <c r="E114" t="s">
        <v>15</v>
      </c>
      <c r="F114" t="s">
        <v>16</v>
      </c>
      <c r="G114" t="s">
        <v>33</v>
      </c>
      <c r="H114">
        <v>2</v>
      </c>
      <c r="I114">
        <v>41124</v>
      </c>
      <c r="J114">
        <v>31718.4130515994</v>
      </c>
      <c r="K114" t="str">
        <f>IF(AND(data_tab[[#This Row],[Revenue]]="",data_tab[[#This Row],[Cost]]=""),"Remove",IF(OR(data_tab[[#This Row],[Revenue]]="",data_tab[[#This Row],[Cost]]=""),"Flag","Valid"))</f>
        <v>Valid</v>
      </c>
      <c r="L114" t="str">
        <f>IF((COUNTIFS(data_tab[Revenue],data_tab[[#This Row],[Revenue]],data_tab[Cost],data_tab[[#This Row],[Cost]]))&gt;1,"Duplicate","Unique")</f>
        <v>Unique</v>
      </c>
      <c r="M114">
        <f>data_tab[[#This Row],[Revenue]]-data_tab[[#This Row],[Cost]]</f>
        <v>9405.5869484005998</v>
      </c>
      <c r="N114" t="str">
        <f>IF(data_tab[[#This Row],[Revenue]]&lt;0,"Return","Sale")</f>
        <v>Sale</v>
      </c>
    </row>
    <row r="115" spans="1:14" hidden="1">
      <c r="A115" s="1">
        <v>46079</v>
      </c>
      <c r="B115">
        <f>MONTH(data_tab[[#This Row],[Order Date]])</f>
        <v>2</v>
      </c>
      <c r="C115">
        <f>YEAR(data_tab[[#This Row],[Order Date]])</f>
        <v>2026</v>
      </c>
      <c r="D115" t="s">
        <v>20</v>
      </c>
      <c r="E115" t="s">
        <v>15</v>
      </c>
      <c r="F115" t="s">
        <v>21</v>
      </c>
      <c r="G115" t="s">
        <v>37</v>
      </c>
      <c r="H115">
        <v>4</v>
      </c>
      <c r="I115">
        <v>43972</v>
      </c>
      <c r="J115">
        <v>35426.673163365398</v>
      </c>
      <c r="K115" t="str">
        <f>IF(AND(data_tab[[#This Row],[Revenue]]="",data_tab[[#This Row],[Cost]]=""),"Remove",IF(OR(data_tab[[#This Row],[Revenue]]="",data_tab[[#This Row],[Cost]]=""),"Flag","Valid"))</f>
        <v>Valid</v>
      </c>
      <c r="L115" t="str">
        <f>IF((COUNTIFS(data_tab[Revenue],data_tab[[#This Row],[Revenue]],data_tab[Cost],data_tab[[#This Row],[Cost]]))&gt;1,"Duplicate","Unique")</f>
        <v>Unique</v>
      </c>
      <c r="M115">
        <f>data_tab[[#This Row],[Revenue]]-data_tab[[#This Row],[Cost]]</f>
        <v>8545.3268366346019</v>
      </c>
      <c r="N115" t="str">
        <f>IF(data_tab[[#This Row],[Revenue]]&lt;0,"Return","Sale")</f>
        <v>Sale</v>
      </c>
    </row>
    <row r="116" spans="1:14" hidden="1">
      <c r="A116" s="1">
        <v>46133</v>
      </c>
      <c r="B116">
        <f>MONTH(data_tab[[#This Row],[Order Date]])</f>
        <v>4</v>
      </c>
      <c r="C116">
        <f>YEAR(data_tab[[#This Row],[Order Date]])</f>
        <v>2026</v>
      </c>
      <c r="D116" t="s">
        <v>29</v>
      </c>
      <c r="E116" t="s">
        <v>15</v>
      </c>
      <c r="F116" t="s">
        <v>21</v>
      </c>
      <c r="G116" t="s">
        <v>26</v>
      </c>
      <c r="H116">
        <v>9</v>
      </c>
      <c r="I116">
        <v>412029</v>
      </c>
      <c r="J116">
        <v>338885.64266836602</v>
      </c>
      <c r="K116" t="str">
        <f>IF(AND(data_tab[[#This Row],[Revenue]]="",data_tab[[#This Row],[Cost]]=""),"Remove",IF(OR(data_tab[[#This Row],[Revenue]]="",data_tab[[#This Row],[Cost]]=""),"Flag","Valid"))</f>
        <v>Valid</v>
      </c>
      <c r="L116" t="str">
        <f>IF((COUNTIFS(data_tab[Revenue],data_tab[[#This Row],[Revenue]],data_tab[Cost],data_tab[[#This Row],[Cost]]))&gt;1,"Duplicate","Unique")</f>
        <v>Unique</v>
      </c>
      <c r="M116">
        <f>data_tab[[#This Row],[Revenue]]-data_tab[[#This Row],[Cost]]</f>
        <v>73143.357331633975</v>
      </c>
      <c r="N116" t="str">
        <f>IF(data_tab[[#This Row],[Revenue]]&lt;0,"Return","Sale")</f>
        <v>Sale</v>
      </c>
    </row>
    <row r="117" spans="1:14" hidden="1">
      <c r="A117" s="1">
        <v>46027</v>
      </c>
      <c r="B117">
        <f>MONTH(data_tab[[#This Row],[Order Date]])</f>
        <v>1</v>
      </c>
      <c r="C117">
        <f>YEAR(data_tab[[#This Row],[Order Date]])</f>
        <v>2026</v>
      </c>
      <c r="D117" t="s">
        <v>35</v>
      </c>
      <c r="E117" t="s">
        <v>32</v>
      </c>
      <c r="F117" t="s">
        <v>36</v>
      </c>
      <c r="G117" t="s">
        <v>26</v>
      </c>
      <c r="H117">
        <v>7</v>
      </c>
      <c r="I117">
        <v>339479</v>
      </c>
      <c r="J117">
        <v>256665.36146664101</v>
      </c>
      <c r="K117" t="str">
        <f>IF(AND(data_tab[[#This Row],[Revenue]]="",data_tab[[#This Row],[Cost]]=""),"Remove",IF(OR(data_tab[[#This Row],[Revenue]]="",data_tab[[#This Row],[Cost]]=""),"Flag","Valid"))</f>
        <v>Valid</v>
      </c>
      <c r="L117" t="str">
        <f>IF((COUNTIFS(data_tab[Revenue],data_tab[[#This Row],[Revenue]],data_tab[Cost],data_tab[[#This Row],[Cost]]))&gt;1,"Duplicate","Unique")</f>
        <v>Unique</v>
      </c>
      <c r="M117">
        <f>data_tab[[#This Row],[Revenue]]-data_tab[[#This Row],[Cost]]</f>
        <v>82813.638533358986</v>
      </c>
      <c r="N117" t="str">
        <f>IF(data_tab[[#This Row],[Revenue]]&lt;0,"Return","Sale")</f>
        <v>Sale</v>
      </c>
    </row>
    <row r="118" spans="1:14" hidden="1">
      <c r="A118" s="1">
        <v>46066</v>
      </c>
      <c r="B118">
        <f>MONTH(data_tab[[#This Row],[Order Date]])</f>
        <v>2</v>
      </c>
      <c r="C118">
        <f>YEAR(data_tab[[#This Row],[Order Date]])</f>
        <v>2026</v>
      </c>
      <c r="D118" t="s">
        <v>23</v>
      </c>
      <c r="E118" t="s">
        <v>15</v>
      </c>
      <c r="F118" t="s">
        <v>16</v>
      </c>
      <c r="G118" t="s">
        <v>39</v>
      </c>
      <c r="H118">
        <v>7</v>
      </c>
      <c r="I118">
        <v>62559</v>
      </c>
      <c r="J118">
        <v>37368.154139374099</v>
      </c>
      <c r="K118" t="str">
        <f>IF(AND(data_tab[[#This Row],[Revenue]]="",data_tab[[#This Row],[Cost]]=""),"Remove",IF(OR(data_tab[[#This Row],[Revenue]]="",data_tab[[#This Row],[Cost]]=""),"Flag","Valid"))</f>
        <v>Valid</v>
      </c>
      <c r="L118" t="str">
        <f>IF((COUNTIFS(data_tab[Revenue],data_tab[[#This Row],[Revenue]],data_tab[Cost],data_tab[[#This Row],[Cost]]))&gt;1,"Duplicate","Unique")</f>
        <v>Unique</v>
      </c>
      <c r="M118">
        <f>data_tab[[#This Row],[Revenue]]-data_tab[[#This Row],[Cost]]</f>
        <v>25190.845860625901</v>
      </c>
      <c r="N118" t="str">
        <f>IF(data_tab[[#This Row],[Revenue]]&lt;0,"Return","Sale")</f>
        <v>Sale</v>
      </c>
    </row>
    <row r="119" spans="1:14" hidden="1">
      <c r="A119" s="1">
        <v>46102</v>
      </c>
      <c r="B119">
        <f>MONTH(data_tab[[#This Row],[Order Date]])</f>
        <v>3</v>
      </c>
      <c r="C119">
        <f>YEAR(data_tab[[#This Row],[Order Date]])</f>
        <v>2026</v>
      </c>
      <c r="D119" t="s">
        <v>23</v>
      </c>
      <c r="E119" t="s">
        <v>15</v>
      </c>
      <c r="F119" t="s">
        <v>21</v>
      </c>
      <c r="G119" t="s">
        <v>39</v>
      </c>
      <c r="H119">
        <v>9</v>
      </c>
      <c r="I119">
        <v>391491</v>
      </c>
      <c r="J119">
        <v>213601.66130281301</v>
      </c>
      <c r="K119" t="str">
        <f>IF(AND(data_tab[[#This Row],[Revenue]]="",data_tab[[#This Row],[Cost]]=""),"Remove",IF(OR(data_tab[[#This Row],[Revenue]]="",data_tab[[#This Row],[Cost]]=""),"Flag","Valid"))</f>
        <v>Valid</v>
      </c>
      <c r="L119" t="str">
        <f>IF((COUNTIFS(data_tab[Revenue],data_tab[[#This Row],[Revenue]],data_tab[Cost],data_tab[[#This Row],[Cost]]))&gt;1,"Duplicate","Unique")</f>
        <v>Unique</v>
      </c>
      <c r="M119">
        <f>data_tab[[#This Row],[Revenue]]-data_tab[[#This Row],[Cost]]</f>
        <v>177889.33869718699</v>
      </c>
      <c r="N119" t="str">
        <f>IF(data_tab[[#This Row],[Revenue]]&lt;0,"Return","Sale")</f>
        <v>Sale</v>
      </c>
    </row>
    <row r="120" spans="1:14" hidden="1">
      <c r="A120" s="1">
        <v>46188</v>
      </c>
      <c r="B120">
        <f>MONTH(data_tab[[#This Row],[Order Date]])</f>
        <v>6</v>
      </c>
      <c r="C120">
        <f>YEAR(data_tab[[#This Row],[Order Date]])</f>
        <v>2026</v>
      </c>
      <c r="D120" t="s">
        <v>31</v>
      </c>
      <c r="E120" t="s">
        <v>32</v>
      </c>
      <c r="F120" t="s">
        <v>16</v>
      </c>
      <c r="G120" t="s">
        <v>17</v>
      </c>
      <c r="H120">
        <v>3</v>
      </c>
      <c r="I120">
        <v>124434</v>
      </c>
      <c r="J120">
        <v>69825.879730065499</v>
      </c>
      <c r="K120" t="str">
        <f>IF(AND(data_tab[[#This Row],[Revenue]]="",data_tab[[#This Row],[Cost]]=""),"Remove",IF(OR(data_tab[[#This Row],[Revenue]]="",data_tab[[#This Row],[Cost]]=""),"Flag","Valid"))</f>
        <v>Valid</v>
      </c>
      <c r="L120" t="str">
        <f>IF((COUNTIFS(data_tab[Revenue],data_tab[[#This Row],[Revenue]],data_tab[Cost],data_tab[[#This Row],[Cost]]))&gt;1,"Duplicate","Unique")</f>
        <v>Unique</v>
      </c>
      <c r="M120">
        <f>data_tab[[#This Row],[Revenue]]-data_tab[[#This Row],[Cost]]</f>
        <v>54608.120269934501</v>
      </c>
      <c r="N120" t="str">
        <f>IF(data_tab[[#This Row],[Revenue]]&lt;0,"Return","Sale")</f>
        <v>Sale</v>
      </c>
    </row>
    <row r="121" spans="1:14" hidden="1">
      <c r="A121" s="1">
        <v>46183</v>
      </c>
      <c r="B121">
        <f>MONTH(data_tab[[#This Row],[Order Date]])</f>
        <v>6</v>
      </c>
      <c r="C121">
        <f>YEAR(data_tab[[#This Row],[Order Date]])</f>
        <v>2026</v>
      </c>
      <c r="D121" t="s">
        <v>23</v>
      </c>
      <c r="E121" t="s">
        <v>15</v>
      </c>
      <c r="F121" t="s">
        <v>36</v>
      </c>
      <c r="G121" t="s">
        <v>41</v>
      </c>
      <c r="H121">
        <v>10</v>
      </c>
      <c r="I121">
        <v>441390</v>
      </c>
      <c r="J121">
        <v>332860.73002006201</v>
      </c>
      <c r="K121" t="str">
        <f>IF(AND(data_tab[[#This Row],[Revenue]]="",data_tab[[#This Row],[Cost]]=""),"Remove",IF(OR(data_tab[[#This Row],[Revenue]]="",data_tab[[#This Row],[Cost]]=""),"Flag","Valid"))</f>
        <v>Valid</v>
      </c>
      <c r="L121" t="str">
        <f>IF((COUNTIFS(data_tab[Revenue],data_tab[[#This Row],[Revenue]],data_tab[Cost],data_tab[[#This Row],[Cost]]))&gt;1,"Duplicate","Unique")</f>
        <v>Unique</v>
      </c>
      <c r="M121">
        <f>data_tab[[#This Row],[Revenue]]-data_tab[[#This Row],[Cost]]</f>
        <v>108529.26997993799</v>
      </c>
      <c r="N121" t="str">
        <f>IF(data_tab[[#This Row],[Revenue]]&lt;0,"Return","Sale")</f>
        <v>Sale</v>
      </c>
    </row>
    <row r="122" spans="1:14" hidden="1">
      <c r="A122" s="1">
        <v>46061</v>
      </c>
      <c r="B122">
        <f>MONTH(data_tab[[#This Row],[Order Date]])</f>
        <v>2</v>
      </c>
      <c r="C122">
        <f>YEAR(data_tab[[#This Row],[Order Date]])</f>
        <v>2026</v>
      </c>
      <c r="D122" t="s">
        <v>14</v>
      </c>
      <c r="E122" t="s">
        <v>15</v>
      </c>
      <c r="F122" t="s">
        <v>16</v>
      </c>
      <c r="G122" t="s">
        <v>37</v>
      </c>
      <c r="H122">
        <v>10</v>
      </c>
      <c r="I122">
        <v>56810</v>
      </c>
      <c r="J122">
        <v>36402.5350668186</v>
      </c>
      <c r="K122" t="str">
        <f>IF(AND(data_tab[[#This Row],[Revenue]]="",data_tab[[#This Row],[Cost]]=""),"Remove",IF(OR(data_tab[[#This Row],[Revenue]]="",data_tab[[#This Row],[Cost]]=""),"Flag","Valid"))</f>
        <v>Valid</v>
      </c>
      <c r="L122" t="str">
        <f>IF((COUNTIFS(data_tab[Revenue],data_tab[[#This Row],[Revenue]],data_tab[Cost],data_tab[[#This Row],[Cost]]))&gt;1,"Duplicate","Unique")</f>
        <v>Unique</v>
      </c>
      <c r="M122">
        <f>data_tab[[#This Row],[Revenue]]-data_tab[[#This Row],[Cost]]</f>
        <v>20407.4649331814</v>
      </c>
      <c r="N122" t="str">
        <f>IF(data_tab[[#This Row],[Revenue]]&lt;0,"Return","Sale")</f>
        <v>Sale</v>
      </c>
    </row>
    <row r="123" spans="1:14" hidden="1">
      <c r="A123" s="1">
        <v>46117</v>
      </c>
      <c r="B123">
        <f>MONTH(data_tab[[#This Row],[Order Date]])</f>
        <v>4</v>
      </c>
      <c r="C123">
        <f>YEAR(data_tab[[#This Row],[Order Date]])</f>
        <v>2026</v>
      </c>
      <c r="D123" t="s">
        <v>23</v>
      </c>
      <c r="E123" t="s">
        <v>15</v>
      </c>
      <c r="F123" t="s">
        <v>24</v>
      </c>
      <c r="G123" t="s">
        <v>26</v>
      </c>
      <c r="H123">
        <v>10</v>
      </c>
      <c r="I123">
        <v>352310</v>
      </c>
      <c r="J123">
        <v>230337.80852990699</v>
      </c>
      <c r="K123" t="str">
        <f>IF(AND(data_tab[[#This Row],[Revenue]]="",data_tab[[#This Row],[Cost]]=""),"Remove",IF(OR(data_tab[[#This Row],[Revenue]]="",data_tab[[#This Row],[Cost]]=""),"Flag","Valid"))</f>
        <v>Valid</v>
      </c>
      <c r="L123" t="str">
        <f>IF((COUNTIFS(data_tab[Revenue],data_tab[[#This Row],[Revenue]],data_tab[Cost],data_tab[[#This Row],[Cost]]))&gt;1,"Duplicate","Unique")</f>
        <v>Unique</v>
      </c>
      <c r="M123">
        <f>data_tab[[#This Row],[Revenue]]-data_tab[[#This Row],[Cost]]</f>
        <v>121972.19147009301</v>
      </c>
      <c r="N123" t="str">
        <f>IF(data_tab[[#This Row],[Revenue]]&lt;0,"Return","Sale")</f>
        <v>Sale</v>
      </c>
    </row>
    <row r="124" spans="1:14" hidden="1">
      <c r="A124" s="1">
        <v>46033</v>
      </c>
      <c r="B124">
        <f>MONTH(data_tab[[#This Row],[Order Date]])</f>
        <v>1</v>
      </c>
      <c r="C124">
        <f>YEAR(data_tab[[#This Row],[Order Date]])</f>
        <v>2026</v>
      </c>
      <c r="D124" t="s">
        <v>14</v>
      </c>
      <c r="E124" t="s">
        <v>15</v>
      </c>
      <c r="F124" t="s">
        <v>21</v>
      </c>
      <c r="G124" t="s">
        <v>37</v>
      </c>
      <c r="H124">
        <v>10</v>
      </c>
      <c r="I124">
        <v>331700</v>
      </c>
      <c r="J124">
        <v>232371.41361248601</v>
      </c>
      <c r="K124" t="str">
        <f>IF(AND(data_tab[[#This Row],[Revenue]]="",data_tab[[#This Row],[Cost]]=""),"Remove",IF(OR(data_tab[[#This Row],[Revenue]]="",data_tab[[#This Row],[Cost]]=""),"Flag","Valid"))</f>
        <v>Valid</v>
      </c>
      <c r="L124" t="str">
        <f>IF((COUNTIFS(data_tab[Revenue],data_tab[[#This Row],[Revenue]],data_tab[Cost],data_tab[[#This Row],[Cost]]))&gt;1,"Duplicate","Unique")</f>
        <v>Unique</v>
      </c>
      <c r="M124">
        <f>data_tab[[#This Row],[Revenue]]-data_tab[[#This Row],[Cost]]</f>
        <v>99328.586387513991</v>
      </c>
      <c r="N124" t="str">
        <f>IF(data_tab[[#This Row],[Revenue]]&lt;0,"Return","Sale")</f>
        <v>Sale</v>
      </c>
    </row>
    <row r="125" spans="1:14" hidden="1">
      <c r="A125" s="1">
        <v>46110</v>
      </c>
      <c r="B125">
        <f>MONTH(data_tab[[#This Row],[Order Date]])</f>
        <v>3</v>
      </c>
      <c r="C125">
        <f>YEAR(data_tab[[#This Row],[Order Date]])</f>
        <v>2026</v>
      </c>
      <c r="D125" t="s">
        <v>14</v>
      </c>
      <c r="E125" t="s">
        <v>15</v>
      </c>
      <c r="F125" t="s">
        <v>21</v>
      </c>
      <c r="G125" t="s">
        <v>39</v>
      </c>
      <c r="H125">
        <v>4</v>
      </c>
      <c r="I125">
        <v>193496</v>
      </c>
      <c r="J125">
        <v>130629.790018295</v>
      </c>
      <c r="K125" t="str">
        <f>IF(AND(data_tab[[#This Row],[Revenue]]="",data_tab[[#This Row],[Cost]]=""),"Remove",IF(OR(data_tab[[#This Row],[Revenue]]="",data_tab[[#This Row],[Cost]]=""),"Flag","Valid"))</f>
        <v>Valid</v>
      </c>
      <c r="L125" t="str">
        <f>IF((COUNTIFS(data_tab[Revenue],data_tab[[#This Row],[Revenue]],data_tab[Cost],data_tab[[#This Row],[Cost]]))&gt;1,"Duplicate","Unique")</f>
        <v>Unique</v>
      </c>
      <c r="M125">
        <f>data_tab[[#This Row],[Revenue]]-data_tab[[#This Row],[Cost]]</f>
        <v>62866.209981705004</v>
      </c>
      <c r="N125" t="str">
        <f>IF(data_tab[[#This Row],[Revenue]]&lt;0,"Return","Sale")</f>
        <v>Sale</v>
      </c>
    </row>
    <row r="126" spans="1:14" hidden="1">
      <c r="A126" s="1">
        <v>46118</v>
      </c>
      <c r="B126">
        <f>MONTH(data_tab[[#This Row],[Order Date]])</f>
        <v>4</v>
      </c>
      <c r="C126">
        <f>YEAR(data_tab[[#This Row],[Order Date]])</f>
        <v>2026</v>
      </c>
      <c r="D126" t="s">
        <v>23</v>
      </c>
      <c r="E126" t="s">
        <v>15</v>
      </c>
      <c r="F126" t="s">
        <v>16</v>
      </c>
      <c r="G126" t="s">
        <v>41</v>
      </c>
      <c r="H126">
        <v>10</v>
      </c>
      <c r="I126">
        <v>54310</v>
      </c>
      <c r="J126">
        <v>44300.165861289002</v>
      </c>
      <c r="K126" t="str">
        <f>IF(AND(data_tab[[#This Row],[Revenue]]="",data_tab[[#This Row],[Cost]]=""),"Remove",IF(OR(data_tab[[#This Row],[Revenue]]="",data_tab[[#This Row],[Cost]]=""),"Flag","Valid"))</f>
        <v>Valid</v>
      </c>
      <c r="L126" t="str">
        <f>IF((COUNTIFS(data_tab[Revenue],data_tab[[#This Row],[Revenue]],data_tab[Cost],data_tab[[#This Row],[Cost]]))&gt;1,"Duplicate","Unique")</f>
        <v>Unique</v>
      </c>
      <c r="M126">
        <f>data_tab[[#This Row],[Revenue]]-data_tab[[#This Row],[Cost]]</f>
        <v>10009.834138710998</v>
      </c>
      <c r="N126" t="str">
        <f>IF(data_tab[[#This Row],[Revenue]]&lt;0,"Return","Sale")</f>
        <v>Sale</v>
      </c>
    </row>
    <row r="127" spans="1:14" hidden="1">
      <c r="A127" s="1">
        <v>46196</v>
      </c>
      <c r="B127">
        <f>MONTH(data_tab[[#This Row],[Order Date]])</f>
        <v>6</v>
      </c>
      <c r="C127">
        <f>YEAR(data_tab[[#This Row],[Order Date]])</f>
        <v>2026</v>
      </c>
      <c r="D127" t="s">
        <v>23</v>
      </c>
      <c r="E127" t="s">
        <v>15</v>
      </c>
      <c r="F127" t="s">
        <v>21</v>
      </c>
      <c r="G127" t="s">
        <v>37</v>
      </c>
      <c r="H127">
        <v>2</v>
      </c>
      <c r="I127">
        <v>80380</v>
      </c>
      <c r="J127">
        <v>61526.456432306797</v>
      </c>
      <c r="K127" t="str">
        <f>IF(AND(data_tab[[#This Row],[Revenue]]="",data_tab[[#This Row],[Cost]]=""),"Remove",IF(OR(data_tab[[#This Row],[Revenue]]="",data_tab[[#This Row],[Cost]]=""),"Flag","Valid"))</f>
        <v>Valid</v>
      </c>
      <c r="L127" t="str">
        <f>IF((COUNTIFS(data_tab[Revenue],data_tab[[#This Row],[Revenue]],data_tab[Cost],data_tab[[#This Row],[Cost]]))&gt;1,"Duplicate","Unique")</f>
        <v>Unique</v>
      </c>
      <c r="M127">
        <f>data_tab[[#This Row],[Revenue]]-data_tab[[#This Row],[Cost]]</f>
        <v>18853.543567693203</v>
      </c>
      <c r="N127" t="str">
        <f>IF(data_tab[[#This Row],[Revenue]]&lt;0,"Return","Sale")</f>
        <v>Sale</v>
      </c>
    </row>
    <row r="128" spans="1:14" hidden="1">
      <c r="A128" s="1">
        <v>46192</v>
      </c>
      <c r="B128">
        <f>MONTH(data_tab[[#This Row],[Order Date]])</f>
        <v>6</v>
      </c>
      <c r="C128">
        <f>YEAR(data_tab[[#This Row],[Order Date]])</f>
        <v>2026</v>
      </c>
      <c r="D128" t="s">
        <v>20</v>
      </c>
      <c r="E128" t="s">
        <v>15</v>
      </c>
      <c r="F128" t="s">
        <v>16</v>
      </c>
      <c r="G128" t="s">
        <v>26</v>
      </c>
      <c r="H128">
        <v>7</v>
      </c>
      <c r="I128">
        <v>309197</v>
      </c>
      <c r="J128">
        <v>252510.30095421299</v>
      </c>
      <c r="K128" t="str">
        <f>IF(AND(data_tab[[#This Row],[Revenue]]="",data_tab[[#This Row],[Cost]]=""),"Remove",IF(OR(data_tab[[#This Row],[Revenue]]="",data_tab[[#This Row],[Cost]]=""),"Flag","Valid"))</f>
        <v>Valid</v>
      </c>
      <c r="L128" t="str">
        <f>IF((COUNTIFS(data_tab[Revenue],data_tab[[#This Row],[Revenue]],data_tab[Cost],data_tab[[#This Row],[Cost]]))&gt;1,"Duplicate","Unique")</f>
        <v>Unique</v>
      </c>
      <c r="M128">
        <f>data_tab[[#This Row],[Revenue]]-data_tab[[#This Row],[Cost]]</f>
        <v>56686.699045787012</v>
      </c>
      <c r="N128" t="str">
        <f>IF(data_tab[[#This Row],[Revenue]]&lt;0,"Return","Sale")</f>
        <v>Sale</v>
      </c>
    </row>
    <row r="129" spans="1:14" hidden="1">
      <c r="A129" s="1">
        <v>46198</v>
      </c>
      <c r="B129">
        <f>MONTH(data_tab[[#This Row],[Order Date]])</f>
        <v>6</v>
      </c>
      <c r="C129">
        <f>YEAR(data_tab[[#This Row],[Order Date]])</f>
        <v>2026</v>
      </c>
      <c r="D129" t="s">
        <v>14</v>
      </c>
      <c r="E129" t="s">
        <v>15</v>
      </c>
      <c r="F129" t="s">
        <v>36</v>
      </c>
      <c r="G129" t="s">
        <v>26</v>
      </c>
      <c r="H129">
        <v>6</v>
      </c>
      <c r="I129">
        <v>19164</v>
      </c>
      <c r="J129">
        <v>12361.5286913487</v>
      </c>
      <c r="K129" t="str">
        <f>IF(AND(data_tab[[#This Row],[Revenue]]="",data_tab[[#This Row],[Cost]]=""),"Remove",IF(OR(data_tab[[#This Row],[Revenue]]="",data_tab[[#This Row],[Cost]]=""),"Flag","Valid"))</f>
        <v>Valid</v>
      </c>
      <c r="L129" t="str">
        <f>IF((COUNTIFS(data_tab[Revenue],data_tab[[#This Row],[Revenue]],data_tab[Cost],data_tab[[#This Row],[Cost]]))&gt;1,"Duplicate","Unique")</f>
        <v>Unique</v>
      </c>
      <c r="M129">
        <f>data_tab[[#This Row],[Revenue]]-data_tab[[#This Row],[Cost]]</f>
        <v>6802.4713086513002</v>
      </c>
      <c r="N129" t="str">
        <f>IF(data_tab[[#This Row],[Revenue]]&lt;0,"Return","Sale")</f>
        <v>Sale</v>
      </c>
    </row>
    <row r="130" spans="1:14">
      <c r="A130" s="1">
        <v>46147</v>
      </c>
      <c r="B130">
        <f>MONTH(data_tab[[#This Row],[Order Date]])</f>
        <v>5</v>
      </c>
      <c r="C130">
        <f>YEAR(data_tab[[#This Row],[Order Date]])</f>
        <v>2026</v>
      </c>
      <c r="D130" t="s">
        <v>31</v>
      </c>
      <c r="E130" t="s">
        <v>32</v>
      </c>
      <c r="F130" t="s">
        <v>21</v>
      </c>
      <c r="G130" t="s">
        <v>39</v>
      </c>
      <c r="H130">
        <v>5</v>
      </c>
      <c r="I130">
        <v>43140</v>
      </c>
      <c r="J130">
        <v>30330.6936827764</v>
      </c>
      <c r="K130" t="str">
        <f>IF(AND(data_tab[[#This Row],[Revenue]]="",data_tab[[#This Row],[Cost]]=""),"Remove",IF(OR(data_tab[[#This Row],[Revenue]]="",data_tab[[#This Row],[Cost]]=""),"Flag","Valid"))</f>
        <v>Valid</v>
      </c>
      <c r="L130" t="str">
        <f>IF((COUNTIFS(data_tab[Revenue],data_tab[[#This Row],[Revenue]],data_tab[Cost],data_tab[[#This Row],[Cost]]))&gt;1,"Duplicate","Unique")</f>
        <v>Unique</v>
      </c>
      <c r="M130">
        <f>data_tab[[#This Row],[Revenue]]-data_tab[[#This Row],[Cost]]</f>
        <v>12809.3063172236</v>
      </c>
      <c r="N130" t="str">
        <f>IF(data_tab[[#This Row],[Revenue]]&lt;0,"Return","Sale")</f>
        <v>Sale</v>
      </c>
    </row>
    <row r="131" spans="1:14" hidden="1">
      <c r="A131" s="1">
        <v>46192</v>
      </c>
      <c r="B131">
        <f>MONTH(data_tab[[#This Row],[Order Date]])</f>
        <v>6</v>
      </c>
      <c r="C131">
        <f>YEAR(data_tab[[#This Row],[Order Date]])</f>
        <v>2026</v>
      </c>
      <c r="D131" t="s">
        <v>31</v>
      </c>
      <c r="E131" t="s">
        <v>32</v>
      </c>
      <c r="F131" t="s">
        <v>36</v>
      </c>
      <c r="G131" t="s">
        <v>17</v>
      </c>
      <c r="H131">
        <v>3</v>
      </c>
      <c r="I131">
        <v>41553</v>
      </c>
      <c r="J131">
        <v>34594.452456241197</v>
      </c>
      <c r="K131" t="str">
        <f>IF(AND(data_tab[[#This Row],[Revenue]]="",data_tab[[#This Row],[Cost]]=""),"Remove",IF(OR(data_tab[[#This Row],[Revenue]]="",data_tab[[#This Row],[Cost]]=""),"Flag","Valid"))</f>
        <v>Valid</v>
      </c>
      <c r="L131" t="str">
        <f>IF((COUNTIFS(data_tab[Revenue],data_tab[[#This Row],[Revenue]],data_tab[Cost],data_tab[[#This Row],[Cost]]))&gt;1,"Duplicate","Unique")</f>
        <v>Unique</v>
      </c>
      <c r="M131">
        <f>data_tab[[#This Row],[Revenue]]-data_tab[[#This Row],[Cost]]</f>
        <v>6958.5475437588029</v>
      </c>
      <c r="N131" t="str">
        <f>IF(data_tab[[#This Row],[Revenue]]&lt;0,"Return","Sale")</f>
        <v>Sale</v>
      </c>
    </row>
    <row r="132" spans="1:14" hidden="1">
      <c r="A132" s="1">
        <v>46135</v>
      </c>
      <c r="B132">
        <f>MONTH(data_tab[[#This Row],[Order Date]])</f>
        <v>4</v>
      </c>
      <c r="C132">
        <f>YEAR(data_tab[[#This Row],[Order Date]])</f>
        <v>2026</v>
      </c>
      <c r="D132" t="s">
        <v>35</v>
      </c>
      <c r="E132" t="s">
        <v>32</v>
      </c>
      <c r="F132" t="s">
        <v>21</v>
      </c>
      <c r="G132" t="s">
        <v>33</v>
      </c>
      <c r="H132">
        <v>10</v>
      </c>
      <c r="I132">
        <v>206730</v>
      </c>
      <c r="J132">
        <v>165581.73022539899</v>
      </c>
      <c r="K132" t="str">
        <f>IF(AND(data_tab[[#This Row],[Revenue]]="",data_tab[[#This Row],[Cost]]=""),"Remove",IF(OR(data_tab[[#This Row],[Revenue]]="",data_tab[[#This Row],[Cost]]=""),"Flag","Valid"))</f>
        <v>Valid</v>
      </c>
      <c r="L132" t="str">
        <f>IF((COUNTIFS(data_tab[Revenue],data_tab[[#This Row],[Revenue]],data_tab[Cost],data_tab[[#This Row],[Cost]]))&gt;1,"Duplicate","Unique")</f>
        <v>Unique</v>
      </c>
      <c r="M132">
        <f>data_tab[[#This Row],[Revenue]]-data_tab[[#This Row],[Cost]]</f>
        <v>41148.269774601009</v>
      </c>
      <c r="N132" t="str">
        <f>IF(data_tab[[#This Row],[Revenue]]&lt;0,"Return","Sale")</f>
        <v>Sale</v>
      </c>
    </row>
    <row r="133" spans="1:14">
      <c r="A133" s="1">
        <v>46143</v>
      </c>
      <c r="B133">
        <f>MONTH(data_tab[[#This Row],[Order Date]])</f>
        <v>5</v>
      </c>
      <c r="C133">
        <f>YEAR(data_tab[[#This Row],[Order Date]])</f>
        <v>2026</v>
      </c>
      <c r="D133" t="s">
        <v>14</v>
      </c>
      <c r="E133" t="s">
        <v>15</v>
      </c>
      <c r="F133" t="s">
        <v>36</v>
      </c>
      <c r="G133" t="s">
        <v>33</v>
      </c>
      <c r="H133">
        <v>5</v>
      </c>
      <c r="I133">
        <v>135130</v>
      </c>
      <c r="J133">
        <v>94748.112488286599</v>
      </c>
      <c r="K133" t="str">
        <f>IF(AND(data_tab[[#This Row],[Revenue]]="",data_tab[[#This Row],[Cost]]=""),"Remove",IF(OR(data_tab[[#This Row],[Revenue]]="",data_tab[[#This Row],[Cost]]=""),"Flag","Valid"))</f>
        <v>Valid</v>
      </c>
      <c r="L133" t="str">
        <f>IF((COUNTIFS(data_tab[Revenue],data_tab[[#This Row],[Revenue]],data_tab[Cost],data_tab[[#This Row],[Cost]]))&gt;1,"Duplicate","Unique")</f>
        <v>Unique</v>
      </c>
      <c r="M133">
        <f>data_tab[[#This Row],[Revenue]]-data_tab[[#This Row],[Cost]]</f>
        <v>40381.887511713401</v>
      </c>
      <c r="N133" t="str">
        <f>IF(data_tab[[#This Row],[Revenue]]&lt;0,"Return","Sale")</f>
        <v>Sale</v>
      </c>
    </row>
    <row r="134" spans="1:14" hidden="1">
      <c r="A134" s="1">
        <v>46118</v>
      </c>
      <c r="B134">
        <f>MONTH(data_tab[[#This Row],[Order Date]])</f>
        <v>4</v>
      </c>
      <c r="C134">
        <f>YEAR(data_tab[[#This Row],[Order Date]])</f>
        <v>2026</v>
      </c>
      <c r="D134" t="s">
        <v>35</v>
      </c>
      <c r="E134" t="s">
        <v>32</v>
      </c>
      <c r="F134" t="s">
        <v>24</v>
      </c>
      <c r="G134" t="s">
        <v>41</v>
      </c>
      <c r="H134">
        <v>8</v>
      </c>
      <c r="I134">
        <v>210616</v>
      </c>
      <c r="J134">
        <v>152026.061455324</v>
      </c>
      <c r="K134" t="str">
        <f>IF(AND(data_tab[[#This Row],[Revenue]]="",data_tab[[#This Row],[Cost]]=""),"Remove",IF(OR(data_tab[[#This Row],[Revenue]]="",data_tab[[#This Row],[Cost]]=""),"Flag","Valid"))</f>
        <v>Valid</v>
      </c>
      <c r="L134" t="str">
        <f>IF((COUNTIFS(data_tab[Revenue],data_tab[[#This Row],[Revenue]],data_tab[Cost],data_tab[[#This Row],[Cost]]))&gt;1,"Duplicate","Unique")</f>
        <v>Unique</v>
      </c>
      <c r="M134">
        <f>data_tab[[#This Row],[Revenue]]-data_tab[[#This Row],[Cost]]</f>
        <v>58589.938544675999</v>
      </c>
      <c r="N134" t="str">
        <f>IF(data_tab[[#This Row],[Revenue]]&lt;0,"Return","Sale")</f>
        <v>Sale</v>
      </c>
    </row>
    <row r="135" spans="1:14" hidden="1">
      <c r="A135" s="1">
        <v>46095</v>
      </c>
      <c r="B135">
        <f>MONTH(data_tab[[#This Row],[Order Date]])</f>
        <v>3</v>
      </c>
      <c r="C135">
        <f>YEAR(data_tab[[#This Row],[Order Date]])</f>
        <v>2026</v>
      </c>
      <c r="D135" t="s">
        <v>31</v>
      </c>
      <c r="E135" t="s">
        <v>32</v>
      </c>
      <c r="F135" t="s">
        <v>16</v>
      </c>
      <c r="G135" t="s">
        <v>33</v>
      </c>
      <c r="H135">
        <v>9</v>
      </c>
      <c r="I135">
        <v>104904</v>
      </c>
      <c r="J135">
        <v>87324.049988808096</v>
      </c>
      <c r="K135" t="str">
        <f>IF(AND(data_tab[[#This Row],[Revenue]]="",data_tab[[#This Row],[Cost]]=""),"Remove",IF(OR(data_tab[[#This Row],[Revenue]]="",data_tab[[#This Row],[Cost]]=""),"Flag","Valid"))</f>
        <v>Valid</v>
      </c>
      <c r="L135" t="str">
        <f>IF((COUNTIFS(data_tab[Revenue],data_tab[[#This Row],[Revenue]],data_tab[Cost],data_tab[[#This Row],[Cost]]))&gt;1,"Duplicate","Unique")</f>
        <v>Unique</v>
      </c>
      <c r="M135">
        <f>data_tab[[#This Row],[Revenue]]-data_tab[[#This Row],[Cost]]</f>
        <v>17579.950011191904</v>
      </c>
      <c r="N135" t="str">
        <f>IF(data_tab[[#This Row],[Revenue]]&lt;0,"Return","Sale")</f>
        <v>Sale</v>
      </c>
    </row>
    <row r="136" spans="1:14" hidden="1">
      <c r="A136" s="1">
        <v>46112</v>
      </c>
      <c r="B136">
        <f>MONTH(data_tab[[#This Row],[Order Date]])</f>
        <v>3</v>
      </c>
      <c r="C136">
        <f>YEAR(data_tab[[#This Row],[Order Date]])</f>
        <v>2026</v>
      </c>
      <c r="D136" t="s">
        <v>29</v>
      </c>
      <c r="E136" t="s">
        <v>15</v>
      </c>
      <c r="F136" t="s">
        <v>16</v>
      </c>
      <c r="G136" t="s">
        <v>17</v>
      </c>
      <c r="H136">
        <v>7</v>
      </c>
      <c r="J136">
        <v>33431.603307966499</v>
      </c>
      <c r="K136" t="str">
        <f>IF(AND(data_tab[[#This Row],[Revenue]]="",data_tab[[#This Row],[Cost]]=""),"Remove",IF(OR(data_tab[[#This Row],[Revenue]]="",data_tab[[#This Row],[Cost]]=""),"Flag","Valid"))</f>
        <v>Flag</v>
      </c>
      <c r="L136" t="str">
        <f>IF((COUNTIFS(data_tab[Revenue],data_tab[[#This Row],[Revenue]],data_tab[Cost],data_tab[[#This Row],[Cost]]))&gt;1,"Duplicate","Unique")</f>
        <v>Unique</v>
      </c>
      <c r="M136">
        <f>data_tab[[#This Row],[Revenue]]-data_tab[[#This Row],[Cost]]</f>
        <v>-33431.603307966499</v>
      </c>
      <c r="N136" t="str">
        <f>IF(data_tab[[#This Row],[Revenue]]&lt;0,"Return","Sale")</f>
        <v>Sale</v>
      </c>
    </row>
    <row r="137" spans="1:14" hidden="1">
      <c r="A137" s="1">
        <v>46189</v>
      </c>
      <c r="B137">
        <f>MONTH(data_tab[[#This Row],[Order Date]])</f>
        <v>6</v>
      </c>
      <c r="C137">
        <f>YEAR(data_tab[[#This Row],[Order Date]])</f>
        <v>2026</v>
      </c>
      <c r="D137" t="s">
        <v>20</v>
      </c>
      <c r="E137" t="s">
        <v>15</v>
      </c>
      <c r="F137" t="s">
        <v>16</v>
      </c>
      <c r="G137" t="s">
        <v>33</v>
      </c>
      <c r="H137">
        <v>3</v>
      </c>
      <c r="I137">
        <v>-144714</v>
      </c>
      <c r="J137">
        <v>99511.721176471998</v>
      </c>
      <c r="K137" t="str">
        <f>IF(AND(data_tab[[#This Row],[Revenue]]="",data_tab[[#This Row],[Cost]]=""),"Remove",IF(OR(data_tab[[#This Row],[Revenue]]="",data_tab[[#This Row],[Cost]]=""),"Flag","Valid"))</f>
        <v>Valid</v>
      </c>
      <c r="L137" t="str">
        <f>IF((COUNTIFS(data_tab[Revenue],data_tab[[#This Row],[Revenue]],data_tab[Cost],data_tab[[#This Row],[Cost]]))&gt;1,"Duplicate","Unique")</f>
        <v>Unique</v>
      </c>
      <c r="M137">
        <f>data_tab[[#This Row],[Revenue]]-data_tab[[#This Row],[Cost]]</f>
        <v>-244225.721176472</v>
      </c>
      <c r="N137" t="str">
        <f>IF(data_tab[[#This Row],[Revenue]]&lt;0,"Return","Sale")</f>
        <v>Return</v>
      </c>
    </row>
    <row r="138" spans="1:14" hidden="1">
      <c r="A138" s="1">
        <v>46078</v>
      </c>
      <c r="B138">
        <f>MONTH(data_tab[[#This Row],[Order Date]])</f>
        <v>2</v>
      </c>
      <c r="C138">
        <f>YEAR(data_tab[[#This Row],[Order Date]])</f>
        <v>2026</v>
      </c>
      <c r="D138" t="s">
        <v>14</v>
      </c>
      <c r="E138" t="s">
        <v>15</v>
      </c>
      <c r="F138" t="s">
        <v>36</v>
      </c>
      <c r="G138" t="s">
        <v>39</v>
      </c>
      <c r="H138">
        <v>5</v>
      </c>
      <c r="J138">
        <v>54516.759884927204</v>
      </c>
      <c r="K138" t="str">
        <f>IF(AND(data_tab[[#This Row],[Revenue]]="",data_tab[[#This Row],[Cost]]=""),"Remove",IF(OR(data_tab[[#This Row],[Revenue]]="",data_tab[[#This Row],[Cost]]=""),"Flag","Valid"))</f>
        <v>Flag</v>
      </c>
      <c r="L138" t="str">
        <f>IF((COUNTIFS(data_tab[Revenue],data_tab[[#This Row],[Revenue]],data_tab[Cost],data_tab[[#This Row],[Cost]]))&gt;1,"Duplicate","Unique")</f>
        <v>Unique</v>
      </c>
      <c r="M138">
        <f>data_tab[[#This Row],[Revenue]]-data_tab[[#This Row],[Cost]]</f>
        <v>-54516.759884927204</v>
      </c>
      <c r="N138" t="str">
        <f>IF(data_tab[[#This Row],[Revenue]]&lt;0,"Return","Sale")</f>
        <v>Sale</v>
      </c>
    </row>
    <row r="139" spans="1:14" hidden="1">
      <c r="A139" s="1">
        <v>46140</v>
      </c>
      <c r="B139">
        <f>MONTH(data_tab[[#This Row],[Order Date]])</f>
        <v>4</v>
      </c>
      <c r="C139">
        <f>YEAR(data_tab[[#This Row],[Order Date]])</f>
        <v>2026</v>
      </c>
      <c r="D139" t="s">
        <v>23</v>
      </c>
      <c r="E139" t="s">
        <v>15</v>
      </c>
      <c r="F139" t="s">
        <v>36</v>
      </c>
      <c r="G139" t="s">
        <v>26</v>
      </c>
      <c r="H139">
        <v>9</v>
      </c>
      <c r="I139">
        <v>27693</v>
      </c>
      <c r="J139">
        <v>20846.791283667899</v>
      </c>
      <c r="K139" t="str">
        <f>IF(AND(data_tab[[#This Row],[Revenue]]="",data_tab[[#This Row],[Cost]]=""),"Remove",IF(OR(data_tab[[#This Row],[Revenue]]="",data_tab[[#This Row],[Cost]]=""),"Flag","Valid"))</f>
        <v>Valid</v>
      </c>
      <c r="L139" t="str">
        <f>IF((COUNTIFS(data_tab[Revenue],data_tab[[#This Row],[Revenue]],data_tab[Cost],data_tab[[#This Row],[Cost]]))&gt;1,"Duplicate","Unique")</f>
        <v>Unique</v>
      </c>
      <c r="M139">
        <f>data_tab[[#This Row],[Revenue]]-data_tab[[#This Row],[Cost]]</f>
        <v>6846.2087163321012</v>
      </c>
      <c r="N139" t="str">
        <f>IF(data_tab[[#This Row],[Revenue]]&lt;0,"Return","Sale")</f>
        <v>Sale</v>
      </c>
    </row>
    <row r="140" spans="1:14" hidden="1">
      <c r="A140" s="1">
        <v>46023</v>
      </c>
      <c r="B140">
        <f>MONTH(data_tab[[#This Row],[Order Date]])</f>
        <v>1</v>
      </c>
      <c r="C140">
        <f>YEAR(data_tab[[#This Row],[Order Date]])</f>
        <v>2026</v>
      </c>
      <c r="D140" t="s">
        <v>29</v>
      </c>
      <c r="E140" t="s">
        <v>15</v>
      </c>
      <c r="F140" t="s">
        <v>21</v>
      </c>
      <c r="G140" t="s">
        <v>41</v>
      </c>
      <c r="H140">
        <v>2</v>
      </c>
      <c r="I140">
        <v>72614</v>
      </c>
      <c r="J140">
        <v>64616.424482401802</v>
      </c>
      <c r="K140" t="str">
        <f>IF(AND(data_tab[[#This Row],[Revenue]]="",data_tab[[#This Row],[Cost]]=""),"Remove",IF(OR(data_tab[[#This Row],[Revenue]]="",data_tab[[#This Row],[Cost]]=""),"Flag","Valid"))</f>
        <v>Valid</v>
      </c>
      <c r="L140" t="str">
        <f>IF((COUNTIFS(data_tab[Revenue],data_tab[[#This Row],[Revenue]],data_tab[Cost],data_tab[[#This Row],[Cost]]))&gt;1,"Duplicate","Unique")</f>
        <v>Unique</v>
      </c>
      <c r="M140">
        <f>data_tab[[#This Row],[Revenue]]-data_tab[[#This Row],[Cost]]</f>
        <v>7997.5755175981976</v>
      </c>
      <c r="N140" t="str">
        <f>IF(data_tab[[#This Row],[Revenue]]&lt;0,"Return","Sale")</f>
        <v>Sale</v>
      </c>
    </row>
    <row r="141" spans="1:14">
      <c r="A141" s="1">
        <v>46152</v>
      </c>
      <c r="B141">
        <f>MONTH(data_tab[[#This Row],[Order Date]])</f>
        <v>5</v>
      </c>
      <c r="C141">
        <f>YEAR(data_tab[[#This Row],[Order Date]])</f>
        <v>2026</v>
      </c>
      <c r="D141" t="s">
        <v>29</v>
      </c>
      <c r="E141" t="s">
        <v>15</v>
      </c>
      <c r="F141" t="s">
        <v>24</v>
      </c>
      <c r="G141" t="s">
        <v>41</v>
      </c>
      <c r="H141">
        <v>7</v>
      </c>
      <c r="J141">
        <v>111419.281425019</v>
      </c>
      <c r="K141" t="str">
        <f>IF(AND(data_tab[[#This Row],[Revenue]]="",data_tab[[#This Row],[Cost]]=""),"Remove",IF(OR(data_tab[[#This Row],[Revenue]]="",data_tab[[#This Row],[Cost]]=""),"Flag","Valid"))</f>
        <v>Flag</v>
      </c>
      <c r="L141" t="str">
        <f>IF((COUNTIFS(data_tab[Revenue],data_tab[[#This Row],[Revenue]],data_tab[Cost],data_tab[[#This Row],[Cost]]))&gt;1,"Duplicate","Unique")</f>
        <v>Unique</v>
      </c>
      <c r="M141">
        <f>data_tab[[#This Row],[Revenue]]-data_tab[[#This Row],[Cost]]</f>
        <v>-111419.281425019</v>
      </c>
      <c r="N141" t="str">
        <f>IF(data_tab[[#This Row],[Revenue]]&lt;0,"Return","Sale")</f>
        <v>Sale</v>
      </c>
    </row>
    <row r="142" spans="1:14" hidden="1">
      <c r="A142" s="1">
        <v>46191</v>
      </c>
      <c r="B142">
        <f>MONTH(data_tab[[#This Row],[Order Date]])</f>
        <v>6</v>
      </c>
      <c r="C142">
        <f>YEAR(data_tab[[#This Row],[Order Date]])</f>
        <v>2026</v>
      </c>
      <c r="D142" t="s">
        <v>14</v>
      </c>
      <c r="E142" t="s">
        <v>15</v>
      </c>
      <c r="F142" t="s">
        <v>16</v>
      </c>
      <c r="G142" t="s">
        <v>17</v>
      </c>
      <c r="H142">
        <v>1</v>
      </c>
      <c r="I142">
        <v>25088</v>
      </c>
      <c r="J142">
        <v>18023.357135908202</v>
      </c>
      <c r="K142" t="str">
        <f>IF(AND(data_tab[[#This Row],[Revenue]]="",data_tab[[#This Row],[Cost]]=""),"Remove",IF(OR(data_tab[[#This Row],[Revenue]]="",data_tab[[#This Row],[Cost]]=""),"Flag","Valid"))</f>
        <v>Valid</v>
      </c>
      <c r="L142" t="str">
        <f>IF((COUNTIFS(data_tab[Revenue],data_tab[[#This Row],[Revenue]],data_tab[Cost],data_tab[[#This Row],[Cost]]))&gt;1,"Duplicate","Unique")</f>
        <v>Unique</v>
      </c>
      <c r="M142">
        <f>data_tab[[#This Row],[Revenue]]-data_tab[[#This Row],[Cost]]</f>
        <v>7064.6428640917984</v>
      </c>
      <c r="N142" t="str">
        <f>IF(data_tab[[#This Row],[Revenue]]&lt;0,"Return","Sale")</f>
        <v>Sale</v>
      </c>
    </row>
    <row r="143" spans="1:14" hidden="1">
      <c r="A143" s="1">
        <v>46141</v>
      </c>
      <c r="B143">
        <f>MONTH(data_tab[[#This Row],[Order Date]])</f>
        <v>4</v>
      </c>
      <c r="C143">
        <f>YEAR(data_tab[[#This Row],[Order Date]])</f>
        <v>2026</v>
      </c>
      <c r="D143" t="s">
        <v>31</v>
      </c>
      <c r="E143" t="s">
        <v>32</v>
      </c>
      <c r="F143" t="s">
        <v>21</v>
      </c>
      <c r="G143" t="s">
        <v>39</v>
      </c>
      <c r="H143">
        <v>8</v>
      </c>
      <c r="J143">
        <v>21845.268775382901</v>
      </c>
      <c r="K143" t="str">
        <f>IF(AND(data_tab[[#This Row],[Revenue]]="",data_tab[[#This Row],[Cost]]=""),"Remove",IF(OR(data_tab[[#This Row],[Revenue]]="",data_tab[[#This Row],[Cost]]=""),"Flag","Valid"))</f>
        <v>Flag</v>
      </c>
      <c r="L143" t="str">
        <f>IF((COUNTIFS(data_tab[Revenue],data_tab[[#This Row],[Revenue]],data_tab[Cost],data_tab[[#This Row],[Cost]]))&gt;1,"Duplicate","Unique")</f>
        <v>Unique</v>
      </c>
      <c r="M143">
        <f>data_tab[[#This Row],[Revenue]]-data_tab[[#This Row],[Cost]]</f>
        <v>-21845.268775382901</v>
      </c>
      <c r="N143" t="str">
        <f>IF(data_tab[[#This Row],[Revenue]]&lt;0,"Return","Sale")</f>
        <v>Sale</v>
      </c>
    </row>
    <row r="144" spans="1:14" hidden="1">
      <c r="A144" s="1">
        <v>46102</v>
      </c>
      <c r="B144">
        <f>MONTH(data_tab[[#This Row],[Order Date]])</f>
        <v>3</v>
      </c>
      <c r="C144">
        <f>YEAR(data_tab[[#This Row],[Order Date]])</f>
        <v>2026</v>
      </c>
      <c r="D144" t="s">
        <v>40</v>
      </c>
      <c r="E144" t="s">
        <v>15</v>
      </c>
      <c r="F144" t="s">
        <v>36</v>
      </c>
      <c r="G144" t="s">
        <v>37</v>
      </c>
      <c r="H144">
        <v>1</v>
      </c>
      <c r="I144">
        <v>44395</v>
      </c>
      <c r="J144">
        <v>25591.114722972699</v>
      </c>
      <c r="K144" t="str">
        <f>IF(AND(data_tab[[#This Row],[Revenue]]="",data_tab[[#This Row],[Cost]]=""),"Remove",IF(OR(data_tab[[#This Row],[Revenue]]="",data_tab[[#This Row],[Cost]]=""),"Flag","Valid"))</f>
        <v>Valid</v>
      </c>
      <c r="L144" t="str">
        <f>IF((COUNTIFS(data_tab[Revenue],data_tab[[#This Row],[Revenue]],data_tab[Cost],data_tab[[#This Row],[Cost]]))&gt;1,"Duplicate","Unique")</f>
        <v>Unique</v>
      </c>
      <c r="M144">
        <f>data_tab[[#This Row],[Revenue]]-data_tab[[#This Row],[Cost]]</f>
        <v>18803.885277027301</v>
      </c>
      <c r="N144" t="str">
        <f>IF(data_tab[[#This Row],[Revenue]]&lt;0,"Return","Sale")</f>
        <v>Sale</v>
      </c>
    </row>
    <row r="145" spans="1:14" hidden="1">
      <c r="A145" s="1">
        <v>46107</v>
      </c>
      <c r="B145">
        <f>MONTH(data_tab[[#This Row],[Order Date]])</f>
        <v>3</v>
      </c>
      <c r="C145">
        <f>YEAR(data_tab[[#This Row],[Order Date]])</f>
        <v>2026</v>
      </c>
      <c r="D145" t="s">
        <v>29</v>
      </c>
      <c r="E145" t="s">
        <v>15</v>
      </c>
      <c r="F145" t="s">
        <v>36</v>
      </c>
      <c r="G145" t="s">
        <v>41</v>
      </c>
      <c r="H145">
        <v>8</v>
      </c>
      <c r="I145">
        <v>218712</v>
      </c>
      <c r="J145">
        <v>139016.55162896201</v>
      </c>
      <c r="K145" t="str">
        <f>IF(AND(data_tab[[#This Row],[Revenue]]="",data_tab[[#This Row],[Cost]]=""),"Remove",IF(OR(data_tab[[#This Row],[Revenue]]="",data_tab[[#This Row],[Cost]]=""),"Flag","Valid"))</f>
        <v>Valid</v>
      </c>
      <c r="L145" t="str">
        <f>IF((COUNTIFS(data_tab[Revenue],data_tab[[#This Row],[Revenue]],data_tab[Cost],data_tab[[#This Row],[Cost]]))&gt;1,"Duplicate","Unique")</f>
        <v>Unique</v>
      </c>
      <c r="M145">
        <f>data_tab[[#This Row],[Revenue]]-data_tab[[#This Row],[Cost]]</f>
        <v>79695.448371037986</v>
      </c>
      <c r="N145" t="str">
        <f>IF(data_tab[[#This Row],[Revenue]]&lt;0,"Return","Sale")</f>
        <v>Sale</v>
      </c>
    </row>
    <row r="146" spans="1:14">
      <c r="A146" s="1">
        <v>46155</v>
      </c>
      <c r="B146">
        <f>MONTH(data_tab[[#This Row],[Order Date]])</f>
        <v>5</v>
      </c>
      <c r="C146">
        <f>YEAR(data_tab[[#This Row],[Order Date]])</f>
        <v>2026</v>
      </c>
      <c r="D146" t="s">
        <v>29</v>
      </c>
      <c r="E146" t="s">
        <v>15</v>
      </c>
      <c r="F146" t="s">
        <v>24</v>
      </c>
      <c r="G146" t="s">
        <v>33</v>
      </c>
      <c r="H146">
        <v>10</v>
      </c>
      <c r="I146">
        <v>138260</v>
      </c>
      <c r="J146">
        <v>99296.9160707478</v>
      </c>
      <c r="K146" t="str">
        <f>IF(AND(data_tab[[#This Row],[Revenue]]="",data_tab[[#This Row],[Cost]]=""),"Remove",IF(OR(data_tab[[#This Row],[Revenue]]="",data_tab[[#This Row],[Cost]]=""),"Flag","Valid"))</f>
        <v>Valid</v>
      </c>
      <c r="L146" t="str">
        <f>IF((COUNTIFS(data_tab[Revenue],data_tab[[#This Row],[Revenue]],data_tab[Cost],data_tab[[#This Row],[Cost]]))&gt;1,"Duplicate","Unique")</f>
        <v>Unique</v>
      </c>
      <c r="M146">
        <f>data_tab[[#This Row],[Revenue]]-data_tab[[#This Row],[Cost]]</f>
        <v>38963.0839292522</v>
      </c>
      <c r="N146" t="str">
        <f>IF(data_tab[[#This Row],[Revenue]]&lt;0,"Return","Sale")</f>
        <v>Sale</v>
      </c>
    </row>
    <row r="147" spans="1:14" hidden="1">
      <c r="A147" s="1">
        <v>46101</v>
      </c>
      <c r="B147">
        <f>MONTH(data_tab[[#This Row],[Order Date]])</f>
        <v>3</v>
      </c>
      <c r="C147">
        <f>YEAR(data_tab[[#This Row],[Order Date]])</f>
        <v>2026</v>
      </c>
      <c r="D147" t="s">
        <v>31</v>
      </c>
      <c r="E147" t="s">
        <v>32</v>
      </c>
      <c r="F147" t="s">
        <v>36</v>
      </c>
      <c r="G147" t="s">
        <v>37</v>
      </c>
      <c r="H147">
        <v>8</v>
      </c>
      <c r="I147">
        <v>38200</v>
      </c>
      <c r="J147">
        <v>30205.723966465601</v>
      </c>
      <c r="K147" t="str">
        <f>IF(AND(data_tab[[#This Row],[Revenue]]="",data_tab[[#This Row],[Cost]]=""),"Remove",IF(OR(data_tab[[#This Row],[Revenue]]="",data_tab[[#This Row],[Cost]]=""),"Flag","Valid"))</f>
        <v>Valid</v>
      </c>
      <c r="L147" t="str">
        <f>IF((COUNTIFS(data_tab[Revenue],data_tab[[#This Row],[Revenue]],data_tab[Cost],data_tab[[#This Row],[Cost]]))&gt;1,"Duplicate","Unique")</f>
        <v>Unique</v>
      </c>
      <c r="M147">
        <f>data_tab[[#This Row],[Revenue]]-data_tab[[#This Row],[Cost]]</f>
        <v>7994.2760335343992</v>
      </c>
      <c r="N147" t="str">
        <f>IF(data_tab[[#This Row],[Revenue]]&lt;0,"Return","Sale")</f>
        <v>Sale</v>
      </c>
    </row>
    <row r="148" spans="1:14" hidden="1">
      <c r="A148" s="1">
        <v>46186</v>
      </c>
      <c r="B148">
        <f>MONTH(data_tab[[#This Row],[Order Date]])</f>
        <v>6</v>
      </c>
      <c r="C148">
        <f>YEAR(data_tab[[#This Row],[Order Date]])</f>
        <v>2026</v>
      </c>
      <c r="D148" t="s">
        <v>20</v>
      </c>
      <c r="E148" t="s">
        <v>15</v>
      </c>
      <c r="F148" t="s">
        <v>36</v>
      </c>
      <c r="G148" t="s">
        <v>37</v>
      </c>
      <c r="H148">
        <v>9</v>
      </c>
      <c r="J148">
        <v>236158.67683621199</v>
      </c>
      <c r="K148" t="str">
        <f>IF(AND(data_tab[[#This Row],[Revenue]]="",data_tab[[#This Row],[Cost]]=""),"Remove",IF(OR(data_tab[[#This Row],[Revenue]]="",data_tab[[#This Row],[Cost]]=""),"Flag","Valid"))</f>
        <v>Flag</v>
      </c>
      <c r="L148" t="str">
        <f>IF((COUNTIFS(data_tab[Revenue],data_tab[[#This Row],[Revenue]],data_tab[Cost],data_tab[[#This Row],[Cost]]))&gt;1,"Duplicate","Unique")</f>
        <v>Unique</v>
      </c>
      <c r="M148">
        <f>data_tab[[#This Row],[Revenue]]-data_tab[[#This Row],[Cost]]</f>
        <v>-236158.67683621199</v>
      </c>
      <c r="N148" t="str">
        <f>IF(data_tab[[#This Row],[Revenue]]&lt;0,"Return","Sale")</f>
        <v>Sale</v>
      </c>
    </row>
    <row r="149" spans="1:14" hidden="1">
      <c r="A149" s="1">
        <v>46135</v>
      </c>
      <c r="B149">
        <f>MONTH(data_tab[[#This Row],[Order Date]])</f>
        <v>4</v>
      </c>
      <c r="C149">
        <f>YEAR(data_tab[[#This Row],[Order Date]])</f>
        <v>2026</v>
      </c>
      <c r="D149" t="s">
        <v>20</v>
      </c>
      <c r="E149" t="s">
        <v>15</v>
      </c>
      <c r="F149" t="s">
        <v>21</v>
      </c>
      <c r="G149" t="s">
        <v>41</v>
      </c>
      <c r="H149">
        <v>6</v>
      </c>
      <c r="I149">
        <v>154398</v>
      </c>
      <c r="J149">
        <v>100843.781564777</v>
      </c>
      <c r="K149" t="str">
        <f>IF(AND(data_tab[[#This Row],[Revenue]]="",data_tab[[#This Row],[Cost]]=""),"Remove",IF(OR(data_tab[[#This Row],[Revenue]]="",data_tab[[#This Row],[Cost]]=""),"Flag","Valid"))</f>
        <v>Valid</v>
      </c>
      <c r="L149" t="str">
        <f>IF((COUNTIFS(data_tab[Revenue],data_tab[[#This Row],[Revenue]],data_tab[Cost],data_tab[[#This Row],[Cost]]))&gt;1,"Duplicate","Unique")</f>
        <v>Unique</v>
      </c>
      <c r="M149">
        <f>data_tab[[#This Row],[Revenue]]-data_tab[[#This Row],[Cost]]</f>
        <v>53554.218435222996</v>
      </c>
      <c r="N149" t="str">
        <f>IF(data_tab[[#This Row],[Revenue]]&lt;0,"Return","Sale")</f>
        <v>Sale</v>
      </c>
    </row>
    <row r="150" spans="1:14" hidden="1">
      <c r="A150" s="1">
        <v>46117</v>
      </c>
      <c r="B150">
        <f>MONTH(data_tab[[#This Row],[Order Date]])</f>
        <v>4</v>
      </c>
      <c r="C150">
        <f>YEAR(data_tab[[#This Row],[Order Date]])</f>
        <v>2026</v>
      </c>
      <c r="D150" t="s">
        <v>40</v>
      </c>
      <c r="E150" t="s">
        <v>15</v>
      </c>
      <c r="F150" t="s">
        <v>21</v>
      </c>
      <c r="G150" t="s">
        <v>26</v>
      </c>
      <c r="H150">
        <v>6</v>
      </c>
      <c r="I150">
        <v>-168510</v>
      </c>
      <c r="J150">
        <v>105445.836286388</v>
      </c>
      <c r="K150" t="str">
        <f>IF(AND(data_tab[[#This Row],[Revenue]]="",data_tab[[#This Row],[Cost]]=""),"Remove",IF(OR(data_tab[[#This Row],[Revenue]]="",data_tab[[#This Row],[Cost]]=""),"Flag","Valid"))</f>
        <v>Valid</v>
      </c>
      <c r="L150" t="str">
        <f>IF((COUNTIFS(data_tab[Revenue],data_tab[[#This Row],[Revenue]],data_tab[Cost],data_tab[[#This Row],[Cost]]))&gt;1,"Duplicate","Unique")</f>
        <v>Unique</v>
      </c>
      <c r="M150">
        <f>data_tab[[#This Row],[Revenue]]-data_tab[[#This Row],[Cost]]</f>
        <v>-273955.83628638799</v>
      </c>
      <c r="N150" t="str">
        <f>IF(data_tab[[#This Row],[Revenue]]&lt;0,"Return","Sale")</f>
        <v>Return</v>
      </c>
    </row>
    <row r="151" spans="1:14" hidden="1">
      <c r="A151" s="1">
        <v>46070</v>
      </c>
      <c r="B151">
        <f>MONTH(data_tab[[#This Row],[Order Date]])</f>
        <v>2</v>
      </c>
      <c r="C151">
        <f>YEAR(data_tab[[#This Row],[Order Date]])</f>
        <v>2026</v>
      </c>
      <c r="D151" t="s">
        <v>40</v>
      </c>
      <c r="E151" t="s">
        <v>15</v>
      </c>
      <c r="F151" t="s">
        <v>24</v>
      </c>
      <c r="G151" t="s">
        <v>37</v>
      </c>
      <c r="H151">
        <v>5</v>
      </c>
      <c r="I151">
        <v>240695</v>
      </c>
      <c r="J151">
        <v>163313.78271618701</v>
      </c>
      <c r="K151" t="str">
        <f>IF(AND(data_tab[[#This Row],[Revenue]]="",data_tab[[#This Row],[Cost]]=""),"Remove",IF(OR(data_tab[[#This Row],[Revenue]]="",data_tab[[#This Row],[Cost]]=""),"Flag","Valid"))</f>
        <v>Valid</v>
      </c>
      <c r="L151" t="str">
        <f>IF((COUNTIFS(data_tab[Revenue],data_tab[[#This Row],[Revenue]],data_tab[Cost],data_tab[[#This Row],[Cost]]))&gt;1,"Duplicate","Unique")</f>
        <v>Unique</v>
      </c>
      <c r="M151">
        <f>data_tab[[#This Row],[Revenue]]-data_tab[[#This Row],[Cost]]</f>
        <v>77381.217283812992</v>
      </c>
      <c r="N151" t="str">
        <f>IF(data_tab[[#This Row],[Revenue]]&lt;0,"Return","Sale")</f>
        <v>Sale</v>
      </c>
    </row>
    <row r="152" spans="1:14">
      <c r="A152" s="1">
        <v>46148</v>
      </c>
      <c r="B152">
        <f>MONTH(data_tab[[#This Row],[Order Date]])</f>
        <v>5</v>
      </c>
      <c r="C152">
        <f>YEAR(data_tab[[#This Row],[Order Date]])</f>
        <v>2026</v>
      </c>
      <c r="D152" t="s">
        <v>20</v>
      </c>
      <c r="E152" t="s">
        <v>15</v>
      </c>
      <c r="F152" t="s">
        <v>36</v>
      </c>
      <c r="G152" t="s">
        <v>17</v>
      </c>
      <c r="H152">
        <v>8</v>
      </c>
      <c r="I152">
        <v>62024</v>
      </c>
      <c r="J152">
        <v>51120.508742165497</v>
      </c>
      <c r="K152" t="str">
        <f>IF(AND(data_tab[[#This Row],[Revenue]]="",data_tab[[#This Row],[Cost]]=""),"Remove",IF(OR(data_tab[[#This Row],[Revenue]]="",data_tab[[#This Row],[Cost]]=""),"Flag","Valid"))</f>
        <v>Valid</v>
      </c>
      <c r="L152" t="str">
        <f>IF((COUNTIFS(data_tab[Revenue],data_tab[[#This Row],[Revenue]],data_tab[Cost],data_tab[[#This Row],[Cost]]))&gt;1,"Duplicate","Unique")</f>
        <v>Unique</v>
      </c>
      <c r="M152">
        <f>data_tab[[#This Row],[Revenue]]-data_tab[[#This Row],[Cost]]</f>
        <v>10903.491257834503</v>
      </c>
      <c r="N152" t="str">
        <f>IF(data_tab[[#This Row],[Revenue]]&lt;0,"Return","Sale")</f>
        <v>Sale</v>
      </c>
    </row>
    <row r="153" spans="1:14" hidden="1">
      <c r="A153" s="1">
        <v>46039</v>
      </c>
      <c r="B153">
        <f>MONTH(data_tab[[#This Row],[Order Date]])</f>
        <v>1</v>
      </c>
      <c r="C153">
        <f>YEAR(data_tab[[#This Row],[Order Date]])</f>
        <v>2026</v>
      </c>
      <c r="D153" t="s">
        <v>35</v>
      </c>
      <c r="E153" t="s">
        <v>32</v>
      </c>
      <c r="F153" t="s">
        <v>21</v>
      </c>
      <c r="G153" t="s">
        <v>41</v>
      </c>
      <c r="H153">
        <v>3</v>
      </c>
      <c r="I153">
        <v>77070</v>
      </c>
      <c r="J153">
        <v>54218.922112233297</v>
      </c>
      <c r="K153" t="str">
        <f>IF(AND(data_tab[[#This Row],[Revenue]]="",data_tab[[#This Row],[Cost]]=""),"Remove",IF(OR(data_tab[[#This Row],[Revenue]]="",data_tab[[#This Row],[Cost]]=""),"Flag","Valid"))</f>
        <v>Valid</v>
      </c>
      <c r="L153" t="str">
        <f>IF((COUNTIFS(data_tab[Revenue],data_tab[[#This Row],[Revenue]],data_tab[Cost],data_tab[[#This Row],[Cost]]))&gt;1,"Duplicate","Unique")</f>
        <v>Unique</v>
      </c>
      <c r="M153">
        <f>data_tab[[#This Row],[Revenue]]-data_tab[[#This Row],[Cost]]</f>
        <v>22851.077887766703</v>
      </c>
      <c r="N153" t="str">
        <f>IF(data_tab[[#This Row],[Revenue]]&lt;0,"Return","Sale")</f>
        <v>Sale</v>
      </c>
    </row>
    <row r="154" spans="1:14" hidden="1">
      <c r="A154" s="1">
        <v>46208</v>
      </c>
      <c r="B154">
        <f>MONTH(data_tab[[#This Row],[Order Date]])</f>
        <v>7</v>
      </c>
      <c r="C154">
        <f>YEAR(data_tab[[#This Row],[Order Date]])</f>
        <v>2026</v>
      </c>
      <c r="D154" t="s">
        <v>40</v>
      </c>
      <c r="E154" t="s">
        <v>15</v>
      </c>
      <c r="F154" t="s">
        <v>16</v>
      </c>
      <c r="G154" t="s">
        <v>33</v>
      </c>
      <c r="H154">
        <v>9</v>
      </c>
      <c r="I154">
        <v>94536</v>
      </c>
      <c r="J154">
        <v>70408.460163477401</v>
      </c>
      <c r="K154" t="str">
        <f>IF(AND(data_tab[[#This Row],[Revenue]]="",data_tab[[#This Row],[Cost]]=""),"Remove",IF(OR(data_tab[[#This Row],[Revenue]]="",data_tab[[#This Row],[Cost]]=""),"Flag","Valid"))</f>
        <v>Valid</v>
      </c>
      <c r="L154" t="str">
        <f>IF((COUNTIFS(data_tab[Revenue],data_tab[[#This Row],[Revenue]],data_tab[Cost],data_tab[[#This Row],[Cost]]))&gt;1,"Duplicate","Unique")</f>
        <v>Unique</v>
      </c>
      <c r="M154">
        <f>data_tab[[#This Row],[Revenue]]-data_tab[[#This Row],[Cost]]</f>
        <v>24127.539836522599</v>
      </c>
      <c r="N154" t="str">
        <f>IF(data_tab[[#This Row],[Revenue]]&lt;0,"Return","Sale")</f>
        <v>Sale</v>
      </c>
    </row>
    <row r="155" spans="1:14">
      <c r="A155" s="1">
        <v>46145</v>
      </c>
      <c r="B155">
        <f>MONTH(data_tab[[#This Row],[Order Date]])</f>
        <v>5</v>
      </c>
      <c r="C155">
        <f>YEAR(data_tab[[#This Row],[Order Date]])</f>
        <v>2026</v>
      </c>
      <c r="D155" t="s">
        <v>23</v>
      </c>
      <c r="E155" t="s">
        <v>15</v>
      </c>
      <c r="F155" t="s">
        <v>24</v>
      </c>
      <c r="G155" t="s">
        <v>17</v>
      </c>
      <c r="H155">
        <v>6</v>
      </c>
      <c r="I155">
        <v>264576</v>
      </c>
      <c r="J155">
        <v>140136.91370777</v>
      </c>
      <c r="K155" t="str">
        <f>IF(AND(data_tab[[#This Row],[Revenue]]="",data_tab[[#This Row],[Cost]]=""),"Remove",IF(OR(data_tab[[#This Row],[Revenue]]="",data_tab[[#This Row],[Cost]]=""),"Flag","Valid"))</f>
        <v>Valid</v>
      </c>
      <c r="L155" t="str">
        <f>IF((COUNTIFS(data_tab[Revenue],data_tab[[#This Row],[Revenue]],data_tab[Cost],data_tab[[#This Row],[Cost]]))&gt;1,"Duplicate","Unique")</f>
        <v>Unique</v>
      </c>
      <c r="M155">
        <f>data_tab[[#This Row],[Revenue]]-data_tab[[#This Row],[Cost]]</f>
        <v>124439.08629223</v>
      </c>
      <c r="N155" t="str">
        <f>IF(data_tab[[#This Row],[Revenue]]&lt;0,"Return","Sale")</f>
        <v>Sale</v>
      </c>
    </row>
    <row r="156" spans="1:14">
      <c r="A156" s="1">
        <v>46164</v>
      </c>
      <c r="B156">
        <f>MONTH(data_tab[[#This Row],[Order Date]])</f>
        <v>5</v>
      </c>
      <c r="C156">
        <f>YEAR(data_tab[[#This Row],[Order Date]])</f>
        <v>2026</v>
      </c>
      <c r="D156" t="s">
        <v>31</v>
      </c>
      <c r="E156" t="s">
        <v>32</v>
      </c>
      <c r="F156" t="s">
        <v>36</v>
      </c>
      <c r="G156" t="s">
        <v>26</v>
      </c>
      <c r="H156">
        <v>1</v>
      </c>
      <c r="I156">
        <v>10137</v>
      </c>
      <c r="J156">
        <v>7169.3005285803001</v>
      </c>
      <c r="K156" t="str">
        <f>IF(AND(data_tab[[#This Row],[Revenue]]="",data_tab[[#This Row],[Cost]]=""),"Remove",IF(OR(data_tab[[#This Row],[Revenue]]="",data_tab[[#This Row],[Cost]]=""),"Flag","Valid"))</f>
        <v>Valid</v>
      </c>
      <c r="L156" t="str">
        <f>IF((COUNTIFS(data_tab[Revenue],data_tab[[#This Row],[Revenue]],data_tab[Cost],data_tab[[#This Row],[Cost]]))&gt;1,"Duplicate","Unique")</f>
        <v>Unique</v>
      </c>
      <c r="M156">
        <f>data_tab[[#This Row],[Revenue]]-data_tab[[#This Row],[Cost]]</f>
        <v>2967.6994714196999</v>
      </c>
      <c r="N156" t="str">
        <f>IF(data_tab[[#This Row],[Revenue]]&lt;0,"Return","Sale")</f>
        <v>Sale</v>
      </c>
    </row>
    <row r="157" spans="1:14" hidden="1">
      <c r="A157" s="1">
        <v>46080</v>
      </c>
      <c r="B157">
        <f>MONTH(data_tab[[#This Row],[Order Date]])</f>
        <v>2</v>
      </c>
      <c r="C157">
        <f>YEAR(data_tab[[#This Row],[Order Date]])</f>
        <v>2026</v>
      </c>
      <c r="D157" t="s">
        <v>35</v>
      </c>
      <c r="E157" t="s">
        <v>32</v>
      </c>
      <c r="F157" t="s">
        <v>24</v>
      </c>
      <c r="G157" t="s">
        <v>37</v>
      </c>
      <c r="H157">
        <v>4</v>
      </c>
      <c r="I157">
        <v>174476</v>
      </c>
      <c r="J157">
        <v>153982.162591995</v>
      </c>
      <c r="K157" t="str">
        <f>IF(AND(data_tab[[#This Row],[Revenue]]="",data_tab[[#This Row],[Cost]]=""),"Remove",IF(OR(data_tab[[#This Row],[Revenue]]="",data_tab[[#This Row],[Cost]]=""),"Flag","Valid"))</f>
        <v>Valid</v>
      </c>
      <c r="L157" t="str">
        <f>IF((COUNTIFS(data_tab[Revenue],data_tab[[#This Row],[Revenue]],data_tab[Cost],data_tab[[#This Row],[Cost]]))&gt;1,"Duplicate","Unique")</f>
        <v>Unique</v>
      </c>
      <c r="M157">
        <f>data_tab[[#This Row],[Revenue]]-data_tab[[#This Row],[Cost]]</f>
        <v>20493.837408004998</v>
      </c>
      <c r="N157" t="str">
        <f>IF(data_tab[[#This Row],[Revenue]]&lt;0,"Return","Sale")</f>
        <v>Sale</v>
      </c>
    </row>
    <row r="158" spans="1:14" hidden="1">
      <c r="A158" s="1">
        <v>46046</v>
      </c>
      <c r="B158">
        <f>MONTH(data_tab[[#This Row],[Order Date]])</f>
        <v>1</v>
      </c>
      <c r="C158">
        <f>YEAR(data_tab[[#This Row],[Order Date]])</f>
        <v>2026</v>
      </c>
      <c r="D158" t="s">
        <v>40</v>
      </c>
      <c r="E158" t="s">
        <v>15</v>
      </c>
      <c r="F158" t="s">
        <v>21</v>
      </c>
      <c r="G158" t="s">
        <v>17</v>
      </c>
      <c r="H158">
        <v>10</v>
      </c>
      <c r="I158">
        <v>492270</v>
      </c>
      <c r="J158">
        <v>423746.19197485299</v>
      </c>
      <c r="K158" t="str">
        <f>IF(AND(data_tab[[#This Row],[Revenue]]="",data_tab[[#This Row],[Cost]]=""),"Remove",IF(OR(data_tab[[#This Row],[Revenue]]="",data_tab[[#This Row],[Cost]]=""),"Flag","Valid"))</f>
        <v>Valid</v>
      </c>
      <c r="L158" t="str">
        <f>IF((COUNTIFS(data_tab[Revenue],data_tab[[#This Row],[Revenue]],data_tab[Cost],data_tab[[#This Row],[Cost]]))&gt;1,"Duplicate","Unique")</f>
        <v>Unique</v>
      </c>
      <c r="M158">
        <f>data_tab[[#This Row],[Revenue]]-data_tab[[#This Row],[Cost]]</f>
        <v>68523.808025147009</v>
      </c>
      <c r="N158" t="str">
        <f>IF(data_tab[[#This Row],[Revenue]]&lt;0,"Return","Sale")</f>
        <v>Sale</v>
      </c>
    </row>
    <row r="159" spans="1:14" hidden="1">
      <c r="A159" s="1">
        <v>46235</v>
      </c>
      <c r="B159">
        <f>MONTH(data_tab[[#This Row],[Order Date]])</f>
        <v>8</v>
      </c>
      <c r="C159">
        <f>YEAR(data_tab[[#This Row],[Order Date]])</f>
        <v>2026</v>
      </c>
      <c r="D159" t="s">
        <v>14</v>
      </c>
      <c r="E159" t="s">
        <v>15</v>
      </c>
      <c r="F159" t="s">
        <v>16</v>
      </c>
      <c r="G159" t="s">
        <v>41</v>
      </c>
      <c r="H159">
        <v>4</v>
      </c>
      <c r="I159">
        <v>157980</v>
      </c>
      <c r="J159">
        <v>105314.952033247</v>
      </c>
      <c r="K159" t="str">
        <f>IF(AND(data_tab[[#This Row],[Revenue]]="",data_tab[[#This Row],[Cost]]=""),"Remove",IF(OR(data_tab[[#This Row],[Revenue]]="",data_tab[[#This Row],[Cost]]=""),"Flag","Valid"))</f>
        <v>Valid</v>
      </c>
      <c r="L159" t="str">
        <f>IF((COUNTIFS(data_tab[Revenue],data_tab[[#This Row],[Revenue]],data_tab[Cost],data_tab[[#This Row],[Cost]]))&gt;1,"Duplicate","Unique")</f>
        <v>Unique</v>
      </c>
      <c r="M159">
        <f>data_tab[[#This Row],[Revenue]]-data_tab[[#This Row],[Cost]]</f>
        <v>52665.047966753002</v>
      </c>
      <c r="N159" t="str">
        <f>IF(data_tab[[#This Row],[Revenue]]&lt;0,"Return","Sale")</f>
        <v>Sale</v>
      </c>
    </row>
    <row r="160" spans="1:14" hidden="1">
      <c r="A160" s="1">
        <v>46097</v>
      </c>
      <c r="B160">
        <f>MONTH(data_tab[[#This Row],[Order Date]])</f>
        <v>3</v>
      </c>
      <c r="C160">
        <f>YEAR(data_tab[[#This Row],[Order Date]])</f>
        <v>2026</v>
      </c>
      <c r="D160" t="s">
        <v>31</v>
      </c>
      <c r="E160" t="s">
        <v>32</v>
      </c>
      <c r="F160" t="s">
        <v>36</v>
      </c>
      <c r="G160" t="s">
        <v>37</v>
      </c>
      <c r="H160">
        <v>8</v>
      </c>
      <c r="I160">
        <v>54256</v>
      </c>
      <c r="J160">
        <v>42072.567177875702</v>
      </c>
      <c r="K160" t="str">
        <f>IF(AND(data_tab[[#This Row],[Revenue]]="",data_tab[[#This Row],[Cost]]=""),"Remove",IF(OR(data_tab[[#This Row],[Revenue]]="",data_tab[[#This Row],[Cost]]=""),"Flag","Valid"))</f>
        <v>Valid</v>
      </c>
      <c r="L160" t="str">
        <f>IF((COUNTIFS(data_tab[Revenue],data_tab[[#This Row],[Revenue]],data_tab[Cost],data_tab[[#This Row],[Cost]]))&gt;1,"Duplicate","Unique")</f>
        <v>Unique</v>
      </c>
      <c r="M160">
        <f>data_tab[[#This Row],[Revenue]]-data_tab[[#This Row],[Cost]]</f>
        <v>12183.432822124298</v>
      </c>
      <c r="N160" t="str">
        <f>IF(data_tab[[#This Row],[Revenue]]&lt;0,"Return","Sale")</f>
        <v>Sale</v>
      </c>
    </row>
    <row r="161" spans="1:14" hidden="1">
      <c r="A161" s="1">
        <v>46110</v>
      </c>
      <c r="B161">
        <f>MONTH(data_tab[[#This Row],[Order Date]])</f>
        <v>3</v>
      </c>
      <c r="C161">
        <f>YEAR(data_tab[[#This Row],[Order Date]])</f>
        <v>2026</v>
      </c>
      <c r="D161" t="s">
        <v>14</v>
      </c>
      <c r="E161" t="s">
        <v>15</v>
      </c>
      <c r="F161" t="s">
        <v>16</v>
      </c>
      <c r="G161" t="s">
        <v>41</v>
      </c>
      <c r="H161">
        <v>6</v>
      </c>
      <c r="I161">
        <v>168780</v>
      </c>
      <c r="J161">
        <v>93218.284423604695</v>
      </c>
      <c r="K161" t="str">
        <f>IF(AND(data_tab[[#This Row],[Revenue]]="",data_tab[[#This Row],[Cost]]=""),"Remove",IF(OR(data_tab[[#This Row],[Revenue]]="",data_tab[[#This Row],[Cost]]=""),"Flag","Valid"))</f>
        <v>Valid</v>
      </c>
      <c r="L161" t="str">
        <f>IF((COUNTIFS(data_tab[Revenue],data_tab[[#This Row],[Revenue]],data_tab[Cost],data_tab[[#This Row],[Cost]]))&gt;1,"Duplicate","Unique")</f>
        <v>Unique</v>
      </c>
      <c r="M161">
        <f>data_tab[[#This Row],[Revenue]]-data_tab[[#This Row],[Cost]]</f>
        <v>75561.715576395305</v>
      </c>
      <c r="N161" t="str">
        <f>IF(data_tab[[#This Row],[Revenue]]&lt;0,"Return","Sale")</f>
        <v>Sale</v>
      </c>
    </row>
    <row r="162" spans="1:14" hidden="1">
      <c r="A162" s="1">
        <v>46142</v>
      </c>
      <c r="B162">
        <f>MONTH(data_tab[[#This Row],[Order Date]])</f>
        <v>4</v>
      </c>
      <c r="C162">
        <f>YEAR(data_tab[[#This Row],[Order Date]])</f>
        <v>2026</v>
      </c>
      <c r="D162" t="s">
        <v>29</v>
      </c>
      <c r="E162" t="s">
        <v>15</v>
      </c>
      <c r="F162" t="s">
        <v>21</v>
      </c>
      <c r="G162" t="s">
        <v>17</v>
      </c>
      <c r="H162">
        <v>2</v>
      </c>
      <c r="I162">
        <v>10632</v>
      </c>
      <c r="J162">
        <v>6550.2136147359897</v>
      </c>
      <c r="K162" t="str">
        <f>IF(AND(data_tab[[#This Row],[Revenue]]="",data_tab[[#This Row],[Cost]]=""),"Remove",IF(OR(data_tab[[#This Row],[Revenue]]="",data_tab[[#This Row],[Cost]]=""),"Flag","Valid"))</f>
        <v>Valid</v>
      </c>
      <c r="L162" t="str">
        <f>IF((COUNTIFS(data_tab[Revenue],data_tab[[#This Row],[Revenue]],data_tab[Cost],data_tab[[#This Row],[Cost]]))&gt;1,"Duplicate","Unique")</f>
        <v>Unique</v>
      </c>
      <c r="M162">
        <f>data_tab[[#This Row],[Revenue]]-data_tab[[#This Row],[Cost]]</f>
        <v>4081.7863852640103</v>
      </c>
      <c r="N162" t="str">
        <f>IF(data_tab[[#This Row],[Revenue]]&lt;0,"Return","Sale")</f>
        <v>Sale</v>
      </c>
    </row>
    <row r="163" spans="1:14" hidden="1">
      <c r="A163" s="1">
        <v>46063</v>
      </c>
      <c r="B163">
        <f>MONTH(data_tab[[#This Row],[Order Date]])</f>
        <v>2</v>
      </c>
      <c r="C163">
        <f>YEAR(data_tab[[#This Row],[Order Date]])</f>
        <v>2026</v>
      </c>
      <c r="D163" t="s">
        <v>14</v>
      </c>
      <c r="E163" t="s">
        <v>15</v>
      </c>
      <c r="F163" t="s">
        <v>16</v>
      </c>
      <c r="G163" t="s">
        <v>17</v>
      </c>
      <c r="H163">
        <v>3</v>
      </c>
      <c r="I163">
        <v>103962</v>
      </c>
      <c r="J163">
        <v>93398.188766520703</v>
      </c>
      <c r="K163" t="str">
        <f>IF(AND(data_tab[[#This Row],[Revenue]]="",data_tab[[#This Row],[Cost]]=""),"Remove",IF(OR(data_tab[[#This Row],[Revenue]]="",data_tab[[#This Row],[Cost]]=""),"Flag","Valid"))</f>
        <v>Valid</v>
      </c>
      <c r="L163" t="str">
        <f>IF((COUNTIFS(data_tab[Revenue],data_tab[[#This Row],[Revenue]],data_tab[Cost],data_tab[[#This Row],[Cost]]))&gt;1,"Duplicate","Unique")</f>
        <v>Unique</v>
      </c>
      <c r="M163">
        <f>data_tab[[#This Row],[Revenue]]-data_tab[[#This Row],[Cost]]</f>
        <v>10563.811233479297</v>
      </c>
      <c r="N163" t="str">
        <f>IF(data_tab[[#This Row],[Revenue]]&lt;0,"Return","Sale")</f>
        <v>Sale</v>
      </c>
    </row>
    <row r="164" spans="1:14" hidden="1">
      <c r="A164" s="1">
        <v>46046</v>
      </c>
      <c r="B164">
        <f>MONTH(data_tab[[#This Row],[Order Date]])</f>
        <v>1</v>
      </c>
      <c r="C164">
        <f>YEAR(data_tab[[#This Row],[Order Date]])</f>
        <v>2026</v>
      </c>
      <c r="D164" t="s">
        <v>31</v>
      </c>
      <c r="E164" t="s">
        <v>32</v>
      </c>
      <c r="F164" t="s">
        <v>21</v>
      </c>
      <c r="G164" t="s">
        <v>26</v>
      </c>
      <c r="H164">
        <v>6</v>
      </c>
      <c r="I164">
        <v>31128</v>
      </c>
      <c r="J164">
        <v>16193.2886861028</v>
      </c>
      <c r="K164" t="str">
        <f>IF(AND(data_tab[[#This Row],[Revenue]]="",data_tab[[#This Row],[Cost]]=""),"Remove",IF(OR(data_tab[[#This Row],[Revenue]]="",data_tab[[#This Row],[Cost]]=""),"Flag","Valid"))</f>
        <v>Valid</v>
      </c>
      <c r="L164" t="str">
        <f>IF((COUNTIFS(data_tab[Revenue],data_tab[[#This Row],[Revenue]],data_tab[Cost],data_tab[[#This Row],[Cost]]))&gt;1,"Duplicate","Unique")</f>
        <v>Unique</v>
      </c>
      <c r="M164">
        <f>data_tab[[#This Row],[Revenue]]-data_tab[[#This Row],[Cost]]</f>
        <v>14934.7113138972</v>
      </c>
      <c r="N164" t="str">
        <f>IF(data_tab[[#This Row],[Revenue]]&lt;0,"Return","Sale")</f>
        <v>Sale</v>
      </c>
    </row>
    <row r="165" spans="1:14">
      <c r="A165" s="1">
        <v>46143</v>
      </c>
      <c r="B165">
        <f>MONTH(data_tab[[#This Row],[Order Date]])</f>
        <v>5</v>
      </c>
      <c r="C165">
        <f>YEAR(data_tab[[#This Row],[Order Date]])</f>
        <v>2026</v>
      </c>
      <c r="D165" t="s">
        <v>20</v>
      </c>
      <c r="E165" t="s">
        <v>15</v>
      </c>
      <c r="F165" t="s">
        <v>36</v>
      </c>
      <c r="G165" t="s">
        <v>17</v>
      </c>
      <c r="H165">
        <v>5</v>
      </c>
      <c r="I165">
        <v>248385</v>
      </c>
      <c r="K165" t="str">
        <f>IF(AND(data_tab[[#This Row],[Revenue]]="",data_tab[[#This Row],[Cost]]=""),"Remove",IF(OR(data_tab[[#This Row],[Revenue]]="",data_tab[[#This Row],[Cost]]=""),"Flag","Valid"))</f>
        <v>Flag</v>
      </c>
      <c r="L165" t="str">
        <f>IF((COUNTIFS(data_tab[Revenue],data_tab[[#This Row],[Revenue]],data_tab[Cost],data_tab[[#This Row],[Cost]]))&gt;1,"Duplicate","Unique")</f>
        <v>Unique</v>
      </c>
      <c r="M165">
        <f>data_tab[[#This Row],[Revenue]]-data_tab[[#This Row],[Cost]]</f>
        <v>248385</v>
      </c>
      <c r="N165" t="str">
        <f>IF(data_tab[[#This Row],[Revenue]]&lt;0,"Return","Sale")</f>
        <v>Sale</v>
      </c>
    </row>
    <row r="166" spans="1:14">
      <c r="A166" s="1">
        <v>46166</v>
      </c>
      <c r="B166">
        <f>MONTH(data_tab[[#This Row],[Order Date]])</f>
        <v>5</v>
      </c>
      <c r="C166">
        <f>YEAR(data_tab[[#This Row],[Order Date]])</f>
        <v>2026</v>
      </c>
      <c r="D166" t="s">
        <v>40</v>
      </c>
      <c r="E166" t="s">
        <v>15</v>
      </c>
      <c r="F166" t="s">
        <v>16</v>
      </c>
      <c r="G166" t="s">
        <v>39</v>
      </c>
      <c r="H166">
        <v>7</v>
      </c>
      <c r="I166">
        <v>245322</v>
      </c>
      <c r="J166">
        <v>166853.73494698701</v>
      </c>
      <c r="K166" t="str">
        <f>IF(AND(data_tab[[#This Row],[Revenue]]="",data_tab[[#This Row],[Cost]]=""),"Remove",IF(OR(data_tab[[#This Row],[Revenue]]="",data_tab[[#This Row],[Cost]]=""),"Flag","Valid"))</f>
        <v>Valid</v>
      </c>
      <c r="L166" t="str">
        <f>IF((COUNTIFS(data_tab[Revenue],data_tab[[#This Row],[Revenue]],data_tab[Cost],data_tab[[#This Row],[Cost]]))&gt;1,"Duplicate","Unique")</f>
        <v>Unique</v>
      </c>
      <c r="M166">
        <f>data_tab[[#This Row],[Revenue]]-data_tab[[#This Row],[Cost]]</f>
        <v>78468.26505301299</v>
      </c>
      <c r="N166" t="str">
        <f>IF(data_tab[[#This Row],[Revenue]]&lt;0,"Return","Sale")</f>
        <v>Sale</v>
      </c>
    </row>
    <row r="167" spans="1:14" hidden="1">
      <c r="A167" s="1">
        <v>46179</v>
      </c>
      <c r="B167">
        <f>MONTH(data_tab[[#This Row],[Order Date]])</f>
        <v>6</v>
      </c>
      <c r="C167">
        <f>YEAR(data_tab[[#This Row],[Order Date]])</f>
        <v>2026</v>
      </c>
      <c r="D167" t="s">
        <v>20</v>
      </c>
      <c r="E167" t="s">
        <v>15</v>
      </c>
      <c r="F167" t="s">
        <v>36</v>
      </c>
      <c r="G167" t="s">
        <v>37</v>
      </c>
      <c r="H167">
        <v>6</v>
      </c>
      <c r="I167">
        <v>231348</v>
      </c>
      <c r="J167">
        <v>202563.549227196</v>
      </c>
      <c r="K167" t="str">
        <f>IF(AND(data_tab[[#This Row],[Revenue]]="",data_tab[[#This Row],[Cost]]=""),"Remove",IF(OR(data_tab[[#This Row],[Revenue]]="",data_tab[[#This Row],[Cost]]=""),"Flag","Valid"))</f>
        <v>Valid</v>
      </c>
      <c r="L167" t="str">
        <f>IF((COUNTIFS(data_tab[Revenue],data_tab[[#This Row],[Revenue]],data_tab[Cost],data_tab[[#This Row],[Cost]]))&gt;1,"Duplicate","Unique")</f>
        <v>Unique</v>
      </c>
      <c r="M167">
        <f>data_tab[[#This Row],[Revenue]]-data_tab[[#This Row],[Cost]]</f>
        <v>28784.450772804004</v>
      </c>
      <c r="N167" t="str">
        <f>IF(data_tab[[#This Row],[Revenue]]&lt;0,"Return","Sale")</f>
        <v>Sale</v>
      </c>
    </row>
    <row r="168" spans="1:14" hidden="1">
      <c r="A168" s="1">
        <v>46270</v>
      </c>
      <c r="B168">
        <f>MONTH(data_tab[[#This Row],[Order Date]])</f>
        <v>9</v>
      </c>
      <c r="C168">
        <f>YEAR(data_tab[[#This Row],[Order Date]])</f>
        <v>2026</v>
      </c>
      <c r="D168" t="s">
        <v>20</v>
      </c>
      <c r="E168" t="s">
        <v>15</v>
      </c>
      <c r="F168" t="s">
        <v>21</v>
      </c>
      <c r="G168" t="s">
        <v>41</v>
      </c>
      <c r="H168">
        <v>6</v>
      </c>
      <c r="I168">
        <v>198282</v>
      </c>
      <c r="J168">
        <v>140330.73138810499</v>
      </c>
      <c r="K168" t="str">
        <f>IF(AND(data_tab[[#This Row],[Revenue]]="",data_tab[[#This Row],[Cost]]=""),"Remove",IF(OR(data_tab[[#This Row],[Revenue]]="",data_tab[[#This Row],[Cost]]=""),"Flag","Valid"))</f>
        <v>Valid</v>
      </c>
      <c r="L168" t="str">
        <f>IF((COUNTIFS(data_tab[Revenue],data_tab[[#This Row],[Revenue]],data_tab[Cost],data_tab[[#This Row],[Cost]]))&gt;1,"Duplicate","Unique")</f>
        <v>Unique</v>
      </c>
      <c r="M168">
        <f>data_tab[[#This Row],[Revenue]]-data_tab[[#This Row],[Cost]]</f>
        <v>57951.268611895008</v>
      </c>
      <c r="N168" t="str">
        <f>IF(data_tab[[#This Row],[Revenue]]&lt;0,"Return","Sale")</f>
        <v>Sale</v>
      </c>
    </row>
    <row r="169" spans="1:14" hidden="1">
      <c r="A169" s="1">
        <v>46179</v>
      </c>
      <c r="B169">
        <f>MONTH(data_tab[[#This Row],[Order Date]])</f>
        <v>6</v>
      </c>
      <c r="C169">
        <f>YEAR(data_tab[[#This Row],[Order Date]])</f>
        <v>2026</v>
      </c>
      <c r="D169" t="s">
        <v>40</v>
      </c>
      <c r="E169" t="s">
        <v>15</v>
      </c>
      <c r="F169" t="s">
        <v>16</v>
      </c>
      <c r="G169" t="s">
        <v>26</v>
      </c>
      <c r="H169">
        <v>6</v>
      </c>
      <c r="I169">
        <v>211482</v>
      </c>
      <c r="J169">
        <v>175808.318368415</v>
      </c>
      <c r="K169" t="str">
        <f>IF(AND(data_tab[[#This Row],[Revenue]]="",data_tab[[#This Row],[Cost]]=""),"Remove",IF(OR(data_tab[[#This Row],[Revenue]]="",data_tab[[#This Row],[Cost]]=""),"Flag","Valid"))</f>
        <v>Valid</v>
      </c>
      <c r="L169" t="str">
        <f>IF((COUNTIFS(data_tab[Revenue],data_tab[[#This Row],[Revenue]],data_tab[Cost],data_tab[[#This Row],[Cost]]))&gt;1,"Duplicate","Unique")</f>
        <v>Unique</v>
      </c>
      <c r="M169">
        <f>data_tab[[#This Row],[Revenue]]-data_tab[[#This Row],[Cost]]</f>
        <v>35673.681631585001</v>
      </c>
      <c r="N169" t="str">
        <f>IF(data_tab[[#This Row],[Revenue]]&lt;0,"Return","Sale")</f>
        <v>Sale</v>
      </c>
    </row>
    <row r="170" spans="1:14" hidden="1">
      <c r="A170" s="1">
        <v>46027</v>
      </c>
      <c r="B170">
        <f>MONTH(data_tab[[#This Row],[Order Date]])</f>
        <v>1</v>
      </c>
      <c r="C170">
        <f>YEAR(data_tab[[#This Row],[Order Date]])</f>
        <v>2026</v>
      </c>
      <c r="D170" t="s">
        <v>29</v>
      </c>
      <c r="E170" t="s">
        <v>15</v>
      </c>
      <c r="F170" t="s">
        <v>16</v>
      </c>
      <c r="G170" t="s">
        <v>41</v>
      </c>
      <c r="H170">
        <v>1</v>
      </c>
      <c r="I170">
        <v>41119</v>
      </c>
      <c r="J170">
        <v>28365.370005185399</v>
      </c>
      <c r="K170" t="str">
        <f>IF(AND(data_tab[[#This Row],[Revenue]]="",data_tab[[#This Row],[Cost]]=""),"Remove",IF(OR(data_tab[[#This Row],[Revenue]]="",data_tab[[#This Row],[Cost]]=""),"Flag","Valid"))</f>
        <v>Valid</v>
      </c>
      <c r="L170" t="str">
        <f>IF((COUNTIFS(data_tab[Revenue],data_tab[[#This Row],[Revenue]],data_tab[Cost],data_tab[[#This Row],[Cost]]))&gt;1,"Duplicate","Unique")</f>
        <v>Unique</v>
      </c>
      <c r="M170">
        <f>data_tab[[#This Row],[Revenue]]-data_tab[[#This Row],[Cost]]</f>
        <v>12753.629994814601</v>
      </c>
      <c r="N170" t="str">
        <f>IF(data_tab[[#This Row],[Revenue]]&lt;0,"Return","Sale")</f>
        <v>Sale</v>
      </c>
    </row>
    <row r="171" spans="1:14">
      <c r="A171" s="1">
        <v>46170</v>
      </c>
      <c r="B171">
        <f>MONTH(data_tab[[#This Row],[Order Date]])</f>
        <v>5</v>
      </c>
      <c r="C171">
        <f>YEAR(data_tab[[#This Row],[Order Date]])</f>
        <v>2026</v>
      </c>
      <c r="D171" t="s">
        <v>29</v>
      </c>
      <c r="E171" t="s">
        <v>15</v>
      </c>
      <c r="F171" t="s">
        <v>21</v>
      </c>
      <c r="G171" t="s">
        <v>26</v>
      </c>
      <c r="H171">
        <v>10</v>
      </c>
      <c r="I171">
        <v>269160</v>
      </c>
      <c r="K171" t="str">
        <f>IF(AND(data_tab[[#This Row],[Revenue]]="",data_tab[[#This Row],[Cost]]=""),"Remove",IF(OR(data_tab[[#This Row],[Revenue]]="",data_tab[[#This Row],[Cost]]=""),"Flag","Valid"))</f>
        <v>Flag</v>
      </c>
      <c r="L171" t="str">
        <f>IF((COUNTIFS(data_tab[Revenue],data_tab[[#This Row],[Revenue]],data_tab[Cost],data_tab[[#This Row],[Cost]]))&gt;1,"Duplicate","Unique")</f>
        <v>Unique</v>
      </c>
      <c r="M171">
        <f>data_tab[[#This Row],[Revenue]]-data_tab[[#This Row],[Cost]]</f>
        <v>269160</v>
      </c>
      <c r="N171" t="str">
        <f>IF(data_tab[[#This Row],[Revenue]]&lt;0,"Return","Sale")</f>
        <v>Sale</v>
      </c>
    </row>
    <row r="172" spans="1:14" hidden="1">
      <c r="A172" s="1">
        <v>46051</v>
      </c>
      <c r="B172">
        <f>MONTH(data_tab[[#This Row],[Order Date]])</f>
        <v>1</v>
      </c>
      <c r="C172">
        <f>YEAR(data_tab[[#This Row],[Order Date]])</f>
        <v>2026</v>
      </c>
      <c r="D172" t="s">
        <v>29</v>
      </c>
      <c r="E172" t="s">
        <v>15</v>
      </c>
      <c r="F172" t="s">
        <v>16</v>
      </c>
      <c r="G172" t="s">
        <v>33</v>
      </c>
      <c r="H172">
        <v>3</v>
      </c>
      <c r="I172">
        <v>87189</v>
      </c>
      <c r="J172">
        <v>67676.110899690102</v>
      </c>
      <c r="K172" t="str">
        <f>IF(AND(data_tab[[#This Row],[Revenue]]="",data_tab[[#This Row],[Cost]]=""),"Remove",IF(OR(data_tab[[#This Row],[Revenue]]="",data_tab[[#This Row],[Cost]]=""),"Flag","Valid"))</f>
        <v>Valid</v>
      </c>
      <c r="L172" t="str">
        <f>IF((COUNTIFS(data_tab[Revenue],data_tab[[#This Row],[Revenue]],data_tab[Cost],data_tab[[#This Row],[Cost]]))&gt;1,"Duplicate","Unique")</f>
        <v>Unique</v>
      </c>
      <c r="M172">
        <f>data_tab[[#This Row],[Revenue]]-data_tab[[#This Row],[Cost]]</f>
        <v>19512.889100309898</v>
      </c>
      <c r="N172" t="str">
        <f>IF(data_tab[[#This Row],[Revenue]]&lt;0,"Return","Sale")</f>
        <v>Sale</v>
      </c>
    </row>
    <row r="173" spans="1:14" hidden="1">
      <c r="A173" s="1">
        <v>46038</v>
      </c>
      <c r="B173">
        <f>MONTH(data_tab[[#This Row],[Order Date]])</f>
        <v>1</v>
      </c>
      <c r="C173">
        <f>YEAR(data_tab[[#This Row],[Order Date]])</f>
        <v>2026</v>
      </c>
      <c r="D173" t="s">
        <v>40</v>
      </c>
      <c r="E173" t="s">
        <v>15</v>
      </c>
      <c r="F173" t="s">
        <v>16</v>
      </c>
      <c r="G173" t="s">
        <v>41</v>
      </c>
      <c r="H173">
        <v>8</v>
      </c>
      <c r="I173">
        <v>291496</v>
      </c>
      <c r="J173">
        <v>189685.16598361</v>
      </c>
      <c r="K173" t="str">
        <f>IF(AND(data_tab[[#This Row],[Revenue]]="",data_tab[[#This Row],[Cost]]=""),"Remove",IF(OR(data_tab[[#This Row],[Revenue]]="",data_tab[[#This Row],[Cost]]=""),"Flag","Valid"))</f>
        <v>Valid</v>
      </c>
      <c r="L173" t="str">
        <f>IF((COUNTIFS(data_tab[Revenue],data_tab[[#This Row],[Revenue]],data_tab[Cost],data_tab[[#This Row],[Cost]]))&gt;1,"Duplicate","Unique")</f>
        <v>Unique</v>
      </c>
      <c r="M173">
        <f>data_tab[[#This Row],[Revenue]]-data_tab[[#This Row],[Cost]]</f>
        <v>101810.83401639</v>
      </c>
      <c r="N173" t="str">
        <f>IF(data_tab[[#This Row],[Revenue]]&lt;0,"Return","Sale")</f>
        <v>Sale</v>
      </c>
    </row>
    <row r="174" spans="1:14">
      <c r="A174" s="1">
        <v>46162</v>
      </c>
      <c r="B174">
        <f>MONTH(data_tab[[#This Row],[Order Date]])</f>
        <v>5</v>
      </c>
      <c r="C174">
        <f>YEAR(data_tab[[#This Row],[Order Date]])</f>
        <v>2026</v>
      </c>
      <c r="D174" t="s">
        <v>14</v>
      </c>
      <c r="E174" t="s">
        <v>15</v>
      </c>
      <c r="F174" t="s">
        <v>16</v>
      </c>
      <c r="G174" t="s">
        <v>26</v>
      </c>
      <c r="H174">
        <v>8</v>
      </c>
      <c r="I174">
        <v>116800</v>
      </c>
      <c r="J174">
        <v>103126.80315015699</v>
      </c>
      <c r="K174" t="str">
        <f>IF(AND(data_tab[[#This Row],[Revenue]]="",data_tab[[#This Row],[Cost]]=""),"Remove",IF(OR(data_tab[[#This Row],[Revenue]]="",data_tab[[#This Row],[Cost]]=""),"Flag","Valid"))</f>
        <v>Valid</v>
      </c>
      <c r="L174" t="str">
        <f>IF((COUNTIFS(data_tab[Revenue],data_tab[[#This Row],[Revenue]],data_tab[Cost],data_tab[[#This Row],[Cost]]))&gt;1,"Duplicate","Unique")</f>
        <v>Unique</v>
      </c>
      <c r="M174">
        <f>data_tab[[#This Row],[Revenue]]-data_tab[[#This Row],[Cost]]</f>
        <v>13673.196849843007</v>
      </c>
      <c r="N174" t="str">
        <f>IF(data_tab[[#This Row],[Revenue]]&lt;0,"Return","Sale")</f>
        <v>Sale</v>
      </c>
    </row>
    <row r="175" spans="1:14" hidden="1">
      <c r="A175" s="1">
        <v>46099</v>
      </c>
      <c r="B175">
        <f>MONTH(data_tab[[#This Row],[Order Date]])</f>
        <v>3</v>
      </c>
      <c r="C175">
        <f>YEAR(data_tab[[#This Row],[Order Date]])</f>
        <v>2026</v>
      </c>
      <c r="D175" t="s">
        <v>14</v>
      </c>
      <c r="E175" t="s">
        <v>15</v>
      </c>
      <c r="F175" t="s">
        <v>36</v>
      </c>
      <c r="G175" t="s">
        <v>37</v>
      </c>
      <c r="H175">
        <v>8</v>
      </c>
      <c r="I175">
        <v>198872</v>
      </c>
      <c r="J175">
        <v>144022.11521818201</v>
      </c>
      <c r="K175" t="str">
        <f>IF(AND(data_tab[[#This Row],[Revenue]]="",data_tab[[#This Row],[Cost]]=""),"Remove",IF(OR(data_tab[[#This Row],[Revenue]]="",data_tab[[#This Row],[Cost]]=""),"Flag","Valid"))</f>
        <v>Valid</v>
      </c>
      <c r="L175" t="str">
        <f>IF((COUNTIFS(data_tab[Revenue],data_tab[[#This Row],[Revenue]],data_tab[Cost],data_tab[[#This Row],[Cost]]))&gt;1,"Duplicate","Unique")</f>
        <v>Unique</v>
      </c>
      <c r="M175">
        <f>data_tab[[#This Row],[Revenue]]-data_tab[[#This Row],[Cost]]</f>
        <v>54849.884781817993</v>
      </c>
      <c r="N175" t="str">
        <f>IF(data_tab[[#This Row],[Revenue]]&lt;0,"Return","Sale")</f>
        <v>Sale</v>
      </c>
    </row>
    <row r="176" spans="1:14">
      <c r="A176" s="1">
        <v>46169</v>
      </c>
      <c r="B176">
        <f>MONTH(data_tab[[#This Row],[Order Date]])</f>
        <v>5</v>
      </c>
      <c r="C176">
        <f>YEAR(data_tab[[#This Row],[Order Date]])</f>
        <v>2026</v>
      </c>
      <c r="D176" t="s">
        <v>29</v>
      </c>
      <c r="E176" t="s">
        <v>15</v>
      </c>
      <c r="F176" t="s">
        <v>16</v>
      </c>
      <c r="G176" t="s">
        <v>17</v>
      </c>
      <c r="H176">
        <v>5</v>
      </c>
      <c r="I176">
        <v>23780</v>
      </c>
      <c r="J176">
        <v>14625.939809433599</v>
      </c>
      <c r="K176" t="str">
        <f>IF(AND(data_tab[[#This Row],[Revenue]]="",data_tab[[#This Row],[Cost]]=""),"Remove",IF(OR(data_tab[[#This Row],[Revenue]]="",data_tab[[#This Row],[Cost]]=""),"Flag","Valid"))</f>
        <v>Valid</v>
      </c>
      <c r="L176" t="str">
        <f>IF((COUNTIFS(data_tab[Revenue],data_tab[[#This Row],[Revenue]],data_tab[Cost],data_tab[[#This Row],[Cost]]))&gt;1,"Duplicate","Unique")</f>
        <v>Duplicate</v>
      </c>
      <c r="M176">
        <f>data_tab[[#This Row],[Revenue]]-data_tab[[#This Row],[Cost]]</f>
        <v>9154.0601905664007</v>
      </c>
      <c r="N176" t="str">
        <f>IF(data_tab[[#This Row],[Revenue]]&lt;0,"Return","Sale")</f>
        <v>Sale</v>
      </c>
    </row>
    <row r="177" spans="1:14" hidden="1">
      <c r="A177" s="1">
        <v>46088</v>
      </c>
      <c r="B177">
        <f>MONTH(data_tab[[#This Row],[Order Date]])</f>
        <v>3</v>
      </c>
      <c r="C177">
        <f>YEAR(data_tab[[#This Row],[Order Date]])</f>
        <v>2026</v>
      </c>
      <c r="D177" t="s">
        <v>23</v>
      </c>
      <c r="E177" t="s">
        <v>15</v>
      </c>
      <c r="F177" t="s">
        <v>16</v>
      </c>
      <c r="G177" t="s">
        <v>26</v>
      </c>
      <c r="H177">
        <v>5</v>
      </c>
      <c r="I177">
        <v>54980</v>
      </c>
      <c r="J177">
        <v>29892.110981911101</v>
      </c>
      <c r="K177" t="str">
        <f>IF(AND(data_tab[[#This Row],[Revenue]]="",data_tab[[#This Row],[Cost]]=""),"Remove",IF(OR(data_tab[[#This Row],[Revenue]]="",data_tab[[#This Row],[Cost]]=""),"Flag","Valid"))</f>
        <v>Valid</v>
      </c>
      <c r="L177" t="str">
        <f>IF((COUNTIFS(data_tab[Revenue],data_tab[[#This Row],[Revenue]],data_tab[Cost],data_tab[[#This Row],[Cost]]))&gt;1,"Duplicate","Unique")</f>
        <v>Unique</v>
      </c>
      <c r="M177">
        <f>data_tab[[#This Row],[Revenue]]-data_tab[[#This Row],[Cost]]</f>
        <v>25087.889018088899</v>
      </c>
      <c r="N177" t="str">
        <f>IF(data_tab[[#This Row],[Revenue]]&lt;0,"Return","Sale")</f>
        <v>Sale</v>
      </c>
    </row>
    <row r="178" spans="1:14">
      <c r="A178" s="1">
        <v>46158</v>
      </c>
      <c r="B178">
        <f>MONTH(data_tab[[#This Row],[Order Date]])</f>
        <v>5</v>
      </c>
      <c r="C178">
        <f>YEAR(data_tab[[#This Row],[Order Date]])</f>
        <v>2026</v>
      </c>
      <c r="D178" t="s">
        <v>20</v>
      </c>
      <c r="E178" t="s">
        <v>15</v>
      </c>
      <c r="F178" t="s">
        <v>36</v>
      </c>
      <c r="G178" t="s">
        <v>37</v>
      </c>
      <c r="H178">
        <v>8</v>
      </c>
      <c r="I178">
        <v>68712</v>
      </c>
      <c r="J178">
        <v>53078.425512793299</v>
      </c>
      <c r="K178" t="str">
        <f>IF(AND(data_tab[[#This Row],[Revenue]]="",data_tab[[#This Row],[Cost]]=""),"Remove",IF(OR(data_tab[[#This Row],[Revenue]]="",data_tab[[#This Row],[Cost]]=""),"Flag","Valid"))</f>
        <v>Valid</v>
      </c>
      <c r="L178" t="str">
        <f>IF((COUNTIFS(data_tab[Revenue],data_tab[[#This Row],[Revenue]],data_tab[Cost],data_tab[[#This Row],[Cost]]))&gt;1,"Duplicate","Unique")</f>
        <v>Unique</v>
      </c>
      <c r="M178">
        <f>data_tab[[#This Row],[Revenue]]-data_tab[[#This Row],[Cost]]</f>
        <v>15633.574487206701</v>
      </c>
      <c r="N178" t="str">
        <f>IF(data_tab[[#This Row],[Revenue]]&lt;0,"Return","Sale")</f>
        <v>Sale</v>
      </c>
    </row>
    <row r="179" spans="1:14" hidden="1">
      <c r="A179" s="1">
        <v>46063</v>
      </c>
      <c r="B179">
        <f>MONTH(data_tab[[#This Row],[Order Date]])</f>
        <v>2</v>
      </c>
      <c r="C179">
        <f>YEAR(data_tab[[#This Row],[Order Date]])</f>
        <v>2026</v>
      </c>
      <c r="D179" t="s">
        <v>29</v>
      </c>
      <c r="E179" t="s">
        <v>15</v>
      </c>
      <c r="F179" t="s">
        <v>36</v>
      </c>
      <c r="G179" t="s">
        <v>41</v>
      </c>
      <c r="H179">
        <v>4</v>
      </c>
      <c r="I179">
        <v>83296</v>
      </c>
      <c r="J179">
        <v>52348.793966287201</v>
      </c>
      <c r="K179" t="str">
        <f>IF(AND(data_tab[[#This Row],[Revenue]]="",data_tab[[#This Row],[Cost]]=""),"Remove",IF(OR(data_tab[[#This Row],[Revenue]]="",data_tab[[#This Row],[Cost]]=""),"Flag","Valid"))</f>
        <v>Valid</v>
      </c>
      <c r="L179" t="str">
        <f>IF((COUNTIFS(data_tab[Revenue],data_tab[[#This Row],[Revenue]],data_tab[Cost],data_tab[[#This Row],[Cost]]))&gt;1,"Duplicate","Unique")</f>
        <v>Unique</v>
      </c>
      <c r="M179">
        <f>data_tab[[#This Row],[Revenue]]-data_tab[[#This Row],[Cost]]</f>
        <v>30947.206033712799</v>
      </c>
      <c r="N179" t="str">
        <f>IF(data_tab[[#This Row],[Revenue]]&lt;0,"Return","Sale")</f>
        <v>Sale</v>
      </c>
    </row>
    <row r="180" spans="1:14">
      <c r="A180" s="1">
        <v>46169</v>
      </c>
      <c r="B180">
        <f>MONTH(data_tab[[#This Row],[Order Date]])</f>
        <v>5</v>
      </c>
      <c r="C180">
        <f>YEAR(data_tab[[#This Row],[Order Date]])</f>
        <v>2026</v>
      </c>
      <c r="D180" t="s">
        <v>23</v>
      </c>
      <c r="E180" t="s">
        <v>15</v>
      </c>
      <c r="F180" t="s">
        <v>24</v>
      </c>
      <c r="G180" t="s">
        <v>17</v>
      </c>
      <c r="H180">
        <v>7</v>
      </c>
      <c r="J180">
        <v>82674.574346048306</v>
      </c>
      <c r="K180" t="str">
        <f>IF(AND(data_tab[[#This Row],[Revenue]]="",data_tab[[#This Row],[Cost]]=""),"Remove",IF(OR(data_tab[[#This Row],[Revenue]]="",data_tab[[#This Row],[Cost]]=""),"Flag","Valid"))</f>
        <v>Flag</v>
      </c>
      <c r="L180" t="str">
        <f>IF((COUNTIFS(data_tab[Revenue],data_tab[[#This Row],[Revenue]],data_tab[Cost],data_tab[[#This Row],[Cost]]))&gt;1,"Duplicate","Unique")</f>
        <v>Unique</v>
      </c>
      <c r="M180">
        <f>data_tab[[#This Row],[Revenue]]-data_tab[[#This Row],[Cost]]</f>
        <v>-82674.574346048306</v>
      </c>
      <c r="N180" t="str">
        <f>IF(data_tab[[#This Row],[Revenue]]&lt;0,"Return","Sale")</f>
        <v>Sale</v>
      </c>
    </row>
    <row r="181" spans="1:14" hidden="1">
      <c r="A181" s="1">
        <v>46070</v>
      </c>
      <c r="B181">
        <f>MONTH(data_tab[[#This Row],[Order Date]])</f>
        <v>2</v>
      </c>
      <c r="C181">
        <f>YEAR(data_tab[[#This Row],[Order Date]])</f>
        <v>2026</v>
      </c>
      <c r="D181" t="s">
        <v>35</v>
      </c>
      <c r="E181" t="s">
        <v>32</v>
      </c>
      <c r="F181" t="s">
        <v>24</v>
      </c>
      <c r="G181" t="s">
        <v>39</v>
      </c>
      <c r="H181">
        <v>5</v>
      </c>
      <c r="I181">
        <v>196105</v>
      </c>
      <c r="J181">
        <v>145336.001380211</v>
      </c>
      <c r="K181" t="str">
        <f>IF(AND(data_tab[[#This Row],[Revenue]]="",data_tab[[#This Row],[Cost]]=""),"Remove",IF(OR(data_tab[[#This Row],[Revenue]]="",data_tab[[#This Row],[Cost]]=""),"Flag","Valid"))</f>
        <v>Valid</v>
      </c>
      <c r="L181" t="str">
        <f>IF((COUNTIFS(data_tab[Revenue],data_tab[[#This Row],[Revenue]],data_tab[Cost],data_tab[[#This Row],[Cost]]))&gt;1,"Duplicate","Unique")</f>
        <v>Unique</v>
      </c>
      <c r="M181">
        <f>data_tab[[#This Row],[Revenue]]-data_tab[[#This Row],[Cost]]</f>
        <v>50768.998619788996</v>
      </c>
      <c r="N181" t="str">
        <f>IF(data_tab[[#This Row],[Revenue]]&lt;0,"Return","Sale")</f>
        <v>Sale</v>
      </c>
    </row>
    <row r="182" spans="1:14" hidden="1">
      <c r="A182" s="1">
        <v>46187</v>
      </c>
      <c r="B182">
        <f>MONTH(data_tab[[#This Row],[Order Date]])</f>
        <v>6</v>
      </c>
      <c r="C182">
        <f>YEAR(data_tab[[#This Row],[Order Date]])</f>
        <v>2026</v>
      </c>
      <c r="D182" t="s">
        <v>31</v>
      </c>
      <c r="E182" t="s">
        <v>32</v>
      </c>
      <c r="F182" t="s">
        <v>36</v>
      </c>
      <c r="G182" t="s">
        <v>37</v>
      </c>
      <c r="H182">
        <v>4</v>
      </c>
      <c r="I182">
        <v>37528</v>
      </c>
      <c r="J182">
        <v>23727.965114361301</v>
      </c>
      <c r="K182" t="str">
        <f>IF(AND(data_tab[[#This Row],[Revenue]]="",data_tab[[#This Row],[Cost]]=""),"Remove",IF(OR(data_tab[[#This Row],[Revenue]]="",data_tab[[#This Row],[Cost]]=""),"Flag","Valid"))</f>
        <v>Valid</v>
      </c>
      <c r="L182" t="str">
        <f>IF((COUNTIFS(data_tab[Revenue],data_tab[[#This Row],[Revenue]],data_tab[Cost],data_tab[[#This Row],[Cost]]))&gt;1,"Duplicate","Unique")</f>
        <v>Unique</v>
      </c>
      <c r="M182">
        <f>data_tab[[#This Row],[Revenue]]-data_tab[[#This Row],[Cost]]</f>
        <v>13800.034885638699</v>
      </c>
      <c r="N182" t="str">
        <f>IF(data_tab[[#This Row],[Revenue]]&lt;0,"Return","Sale")</f>
        <v>Sale</v>
      </c>
    </row>
    <row r="183" spans="1:14" hidden="1">
      <c r="A183" s="1">
        <v>46026</v>
      </c>
      <c r="B183">
        <f>MONTH(data_tab[[#This Row],[Order Date]])</f>
        <v>1</v>
      </c>
      <c r="C183">
        <f>YEAR(data_tab[[#This Row],[Order Date]])</f>
        <v>2026</v>
      </c>
      <c r="D183" t="s">
        <v>40</v>
      </c>
      <c r="E183" t="s">
        <v>15</v>
      </c>
      <c r="F183" t="s">
        <v>21</v>
      </c>
      <c r="G183" t="s">
        <v>17</v>
      </c>
      <c r="H183">
        <v>10</v>
      </c>
      <c r="I183">
        <v>438590</v>
      </c>
      <c r="J183">
        <v>376668.593956333</v>
      </c>
      <c r="K183" t="str">
        <f>IF(AND(data_tab[[#This Row],[Revenue]]="",data_tab[[#This Row],[Cost]]=""),"Remove",IF(OR(data_tab[[#This Row],[Revenue]]="",data_tab[[#This Row],[Cost]]=""),"Flag","Valid"))</f>
        <v>Valid</v>
      </c>
      <c r="L183" t="str">
        <f>IF((COUNTIFS(data_tab[Revenue],data_tab[[#This Row],[Revenue]],data_tab[Cost],data_tab[[#This Row],[Cost]]))&gt;1,"Duplicate","Unique")</f>
        <v>Unique</v>
      </c>
      <c r="M183">
        <f>data_tab[[#This Row],[Revenue]]-data_tab[[#This Row],[Cost]]</f>
        <v>61921.406043666997</v>
      </c>
      <c r="N183" t="str">
        <f>IF(data_tab[[#This Row],[Revenue]]&lt;0,"Return","Sale")</f>
        <v>Sale</v>
      </c>
    </row>
    <row r="184" spans="1:14" hidden="1">
      <c r="A184" s="1">
        <v>46194</v>
      </c>
      <c r="B184">
        <f>MONTH(data_tab[[#This Row],[Order Date]])</f>
        <v>6</v>
      </c>
      <c r="C184">
        <f>YEAR(data_tab[[#This Row],[Order Date]])</f>
        <v>2026</v>
      </c>
      <c r="D184" t="s">
        <v>31</v>
      </c>
      <c r="E184" t="s">
        <v>32</v>
      </c>
      <c r="F184" t="s">
        <v>36</v>
      </c>
      <c r="G184" t="s">
        <v>37</v>
      </c>
      <c r="H184">
        <v>4</v>
      </c>
      <c r="I184">
        <v>9788</v>
      </c>
      <c r="J184">
        <v>5915.0265167666203</v>
      </c>
      <c r="K184" t="str">
        <f>IF(AND(data_tab[[#This Row],[Revenue]]="",data_tab[[#This Row],[Cost]]=""),"Remove",IF(OR(data_tab[[#This Row],[Revenue]]="",data_tab[[#This Row],[Cost]]=""),"Flag","Valid"))</f>
        <v>Valid</v>
      </c>
      <c r="L184" t="str">
        <f>IF((COUNTIFS(data_tab[Revenue],data_tab[[#This Row],[Revenue]],data_tab[Cost],data_tab[[#This Row],[Cost]]))&gt;1,"Duplicate","Unique")</f>
        <v>Unique</v>
      </c>
      <c r="M184">
        <f>data_tab[[#This Row],[Revenue]]-data_tab[[#This Row],[Cost]]</f>
        <v>3872.9734832333797</v>
      </c>
      <c r="N184" t="str">
        <f>IF(data_tab[[#This Row],[Revenue]]&lt;0,"Return","Sale")</f>
        <v>Sale</v>
      </c>
    </row>
    <row r="185" spans="1:14" hidden="1">
      <c r="A185" s="1">
        <v>46100</v>
      </c>
      <c r="B185">
        <f>MONTH(data_tab[[#This Row],[Order Date]])</f>
        <v>3</v>
      </c>
      <c r="C185">
        <f>YEAR(data_tab[[#This Row],[Order Date]])</f>
        <v>2026</v>
      </c>
      <c r="D185" t="s">
        <v>35</v>
      </c>
      <c r="E185" t="s">
        <v>32</v>
      </c>
      <c r="F185" t="s">
        <v>16</v>
      </c>
      <c r="G185" t="s">
        <v>41</v>
      </c>
      <c r="H185">
        <v>4</v>
      </c>
      <c r="I185">
        <v>24284</v>
      </c>
      <c r="J185">
        <v>18628.6072047083</v>
      </c>
      <c r="K185" t="str">
        <f>IF(AND(data_tab[[#This Row],[Revenue]]="",data_tab[[#This Row],[Cost]]=""),"Remove",IF(OR(data_tab[[#This Row],[Revenue]]="",data_tab[[#This Row],[Cost]]=""),"Flag","Valid"))</f>
        <v>Valid</v>
      </c>
      <c r="L185" t="str">
        <f>IF((COUNTIFS(data_tab[Revenue],data_tab[[#This Row],[Revenue]],data_tab[Cost],data_tab[[#This Row],[Cost]]))&gt;1,"Duplicate","Unique")</f>
        <v>Unique</v>
      </c>
      <c r="M185">
        <f>data_tab[[#This Row],[Revenue]]-data_tab[[#This Row],[Cost]]</f>
        <v>5655.3927952917002</v>
      </c>
      <c r="N185" t="str">
        <f>IF(data_tab[[#This Row],[Revenue]]&lt;0,"Return","Sale")</f>
        <v>Sale</v>
      </c>
    </row>
    <row r="186" spans="1:14" hidden="1">
      <c r="A186" s="1">
        <v>46203</v>
      </c>
      <c r="B186">
        <f>MONTH(data_tab[[#This Row],[Order Date]])</f>
        <v>6</v>
      </c>
      <c r="C186">
        <f>YEAR(data_tab[[#This Row],[Order Date]])</f>
        <v>2026</v>
      </c>
      <c r="D186" t="s">
        <v>14</v>
      </c>
      <c r="E186" t="s">
        <v>15</v>
      </c>
      <c r="F186" t="s">
        <v>16</v>
      </c>
      <c r="G186" t="s">
        <v>37</v>
      </c>
      <c r="H186">
        <v>10</v>
      </c>
      <c r="I186">
        <v>164730</v>
      </c>
      <c r="J186">
        <v>96803.821772831594</v>
      </c>
      <c r="K186" t="str">
        <f>IF(AND(data_tab[[#This Row],[Revenue]]="",data_tab[[#This Row],[Cost]]=""),"Remove",IF(OR(data_tab[[#This Row],[Revenue]]="",data_tab[[#This Row],[Cost]]=""),"Flag","Valid"))</f>
        <v>Valid</v>
      </c>
      <c r="L186" t="str">
        <f>IF((COUNTIFS(data_tab[Revenue],data_tab[[#This Row],[Revenue]],data_tab[Cost],data_tab[[#This Row],[Cost]]))&gt;1,"Duplicate","Unique")</f>
        <v>Unique</v>
      </c>
      <c r="M186">
        <f>data_tab[[#This Row],[Revenue]]-data_tab[[#This Row],[Cost]]</f>
        <v>67926.178227168406</v>
      </c>
      <c r="N186" t="str">
        <f>IF(data_tab[[#This Row],[Revenue]]&lt;0,"Return","Sale")</f>
        <v>Sale</v>
      </c>
    </row>
    <row r="187" spans="1:14" hidden="1">
      <c r="A187" s="1">
        <v>46178</v>
      </c>
      <c r="B187">
        <f>MONTH(data_tab[[#This Row],[Order Date]])</f>
        <v>6</v>
      </c>
      <c r="C187">
        <f>YEAR(data_tab[[#This Row],[Order Date]])</f>
        <v>2026</v>
      </c>
      <c r="D187" t="s">
        <v>29</v>
      </c>
      <c r="E187" t="s">
        <v>15</v>
      </c>
      <c r="F187" t="s">
        <v>21</v>
      </c>
      <c r="G187" t="s">
        <v>17</v>
      </c>
      <c r="H187">
        <v>10</v>
      </c>
      <c r="I187">
        <v>73650</v>
      </c>
      <c r="J187">
        <v>52306.426092246104</v>
      </c>
      <c r="K187" t="str">
        <f>IF(AND(data_tab[[#This Row],[Revenue]]="",data_tab[[#This Row],[Cost]]=""),"Remove",IF(OR(data_tab[[#This Row],[Revenue]]="",data_tab[[#This Row],[Cost]]=""),"Flag","Valid"))</f>
        <v>Valid</v>
      </c>
      <c r="L187" t="str">
        <f>IF((COUNTIFS(data_tab[Revenue],data_tab[[#This Row],[Revenue]],data_tab[Cost],data_tab[[#This Row],[Cost]]))&gt;1,"Duplicate","Unique")</f>
        <v>Unique</v>
      </c>
      <c r="M187">
        <f>data_tab[[#This Row],[Revenue]]-data_tab[[#This Row],[Cost]]</f>
        <v>21343.573907753896</v>
      </c>
      <c r="N187" t="str">
        <f>IF(data_tab[[#This Row],[Revenue]]&lt;0,"Return","Sale")</f>
        <v>Sale</v>
      </c>
    </row>
    <row r="188" spans="1:14" hidden="1">
      <c r="A188" s="1">
        <v>46051</v>
      </c>
      <c r="B188">
        <f>MONTH(data_tab[[#This Row],[Order Date]])</f>
        <v>1</v>
      </c>
      <c r="C188">
        <f>YEAR(data_tab[[#This Row],[Order Date]])</f>
        <v>2026</v>
      </c>
      <c r="D188" t="s">
        <v>40</v>
      </c>
      <c r="E188" t="s">
        <v>15</v>
      </c>
      <c r="F188" t="s">
        <v>21</v>
      </c>
      <c r="G188" t="s">
        <v>26</v>
      </c>
      <c r="H188">
        <v>9</v>
      </c>
      <c r="I188">
        <v>106380</v>
      </c>
      <c r="J188">
        <v>60191.3850869093</v>
      </c>
      <c r="K188" t="str">
        <f>IF(AND(data_tab[[#This Row],[Revenue]]="",data_tab[[#This Row],[Cost]]=""),"Remove",IF(OR(data_tab[[#This Row],[Revenue]]="",data_tab[[#This Row],[Cost]]=""),"Flag","Valid"))</f>
        <v>Valid</v>
      </c>
      <c r="L188" t="str">
        <f>IF((COUNTIFS(data_tab[Revenue],data_tab[[#This Row],[Revenue]],data_tab[Cost],data_tab[[#This Row],[Cost]]))&gt;1,"Duplicate","Unique")</f>
        <v>Unique</v>
      </c>
      <c r="M188">
        <f>data_tab[[#This Row],[Revenue]]-data_tab[[#This Row],[Cost]]</f>
        <v>46188.6149130907</v>
      </c>
      <c r="N188" t="str">
        <f>IF(data_tab[[#This Row],[Revenue]]&lt;0,"Return","Sale")</f>
        <v>Sale</v>
      </c>
    </row>
    <row r="189" spans="1:14">
      <c r="A189" s="1">
        <v>46172</v>
      </c>
      <c r="B189">
        <f>MONTH(data_tab[[#This Row],[Order Date]])</f>
        <v>5</v>
      </c>
      <c r="C189">
        <f>YEAR(data_tab[[#This Row],[Order Date]])</f>
        <v>2026</v>
      </c>
      <c r="D189" t="s">
        <v>29</v>
      </c>
      <c r="E189" t="s">
        <v>15</v>
      </c>
      <c r="F189" t="s">
        <v>24</v>
      </c>
      <c r="G189" t="s">
        <v>33</v>
      </c>
      <c r="H189">
        <v>3</v>
      </c>
      <c r="I189">
        <v>106908</v>
      </c>
      <c r="J189">
        <v>71218.884136233901</v>
      </c>
      <c r="K189" t="str">
        <f>IF(AND(data_tab[[#This Row],[Revenue]]="",data_tab[[#This Row],[Cost]]=""),"Remove",IF(OR(data_tab[[#This Row],[Revenue]]="",data_tab[[#This Row],[Cost]]=""),"Flag","Valid"))</f>
        <v>Valid</v>
      </c>
      <c r="L189" t="str">
        <f>IF((COUNTIFS(data_tab[Revenue],data_tab[[#This Row],[Revenue]],data_tab[Cost],data_tab[[#This Row],[Cost]]))&gt;1,"Duplicate","Unique")</f>
        <v>Unique</v>
      </c>
      <c r="M189">
        <f>data_tab[[#This Row],[Revenue]]-data_tab[[#This Row],[Cost]]</f>
        <v>35689.115863766099</v>
      </c>
      <c r="N189" t="str">
        <f>IF(data_tab[[#This Row],[Revenue]]&lt;0,"Return","Sale")</f>
        <v>Sale</v>
      </c>
    </row>
    <row r="190" spans="1:14" hidden="1">
      <c r="A190" s="1">
        <v>46101</v>
      </c>
      <c r="B190">
        <f>MONTH(data_tab[[#This Row],[Order Date]])</f>
        <v>3</v>
      </c>
      <c r="C190">
        <f>YEAR(data_tab[[#This Row],[Order Date]])</f>
        <v>2026</v>
      </c>
      <c r="D190" t="s">
        <v>23</v>
      </c>
      <c r="E190" t="s">
        <v>15</v>
      </c>
      <c r="F190" t="s">
        <v>24</v>
      </c>
      <c r="G190" t="s">
        <v>41</v>
      </c>
      <c r="H190">
        <v>4</v>
      </c>
      <c r="I190">
        <v>159600</v>
      </c>
      <c r="J190">
        <v>84462.204934442794</v>
      </c>
      <c r="K190" t="str">
        <f>IF(AND(data_tab[[#This Row],[Revenue]]="",data_tab[[#This Row],[Cost]]=""),"Remove",IF(OR(data_tab[[#This Row],[Revenue]]="",data_tab[[#This Row],[Cost]]=""),"Flag","Valid"))</f>
        <v>Valid</v>
      </c>
      <c r="L190" t="str">
        <f>IF((COUNTIFS(data_tab[Revenue],data_tab[[#This Row],[Revenue]],data_tab[Cost],data_tab[[#This Row],[Cost]]))&gt;1,"Duplicate","Unique")</f>
        <v>Unique</v>
      </c>
      <c r="M190">
        <f>data_tab[[#This Row],[Revenue]]-data_tab[[#This Row],[Cost]]</f>
        <v>75137.795065557206</v>
      </c>
      <c r="N190" t="str">
        <f>IF(data_tab[[#This Row],[Revenue]]&lt;0,"Return","Sale")</f>
        <v>Sale</v>
      </c>
    </row>
    <row r="191" spans="1:14" hidden="1">
      <c r="A191" s="1">
        <v>46038</v>
      </c>
      <c r="B191">
        <f>MONTH(data_tab[[#This Row],[Order Date]])</f>
        <v>1</v>
      </c>
      <c r="C191">
        <f>YEAR(data_tab[[#This Row],[Order Date]])</f>
        <v>2026</v>
      </c>
      <c r="D191" t="s">
        <v>29</v>
      </c>
      <c r="E191" t="s">
        <v>15</v>
      </c>
      <c r="F191" t="s">
        <v>24</v>
      </c>
      <c r="G191" t="s">
        <v>37</v>
      </c>
      <c r="H191">
        <v>7</v>
      </c>
      <c r="I191">
        <v>96565</v>
      </c>
      <c r="J191">
        <v>77984.814889349596</v>
      </c>
      <c r="K191" t="str">
        <f>IF(AND(data_tab[[#This Row],[Revenue]]="",data_tab[[#This Row],[Cost]]=""),"Remove",IF(OR(data_tab[[#This Row],[Revenue]]="",data_tab[[#This Row],[Cost]]=""),"Flag","Valid"))</f>
        <v>Valid</v>
      </c>
      <c r="L191" t="str">
        <f>IF((COUNTIFS(data_tab[Revenue],data_tab[[#This Row],[Revenue]],data_tab[Cost],data_tab[[#This Row],[Cost]]))&gt;1,"Duplicate","Unique")</f>
        <v>Unique</v>
      </c>
      <c r="M191">
        <f>data_tab[[#This Row],[Revenue]]-data_tab[[#This Row],[Cost]]</f>
        <v>18580.185110650404</v>
      </c>
      <c r="N191" t="str">
        <f>IF(data_tab[[#This Row],[Revenue]]&lt;0,"Return","Sale")</f>
        <v>Sale</v>
      </c>
    </row>
    <row r="192" spans="1:14" hidden="1">
      <c r="A192" s="1">
        <v>46130</v>
      </c>
      <c r="B192">
        <f>MONTH(data_tab[[#This Row],[Order Date]])</f>
        <v>4</v>
      </c>
      <c r="C192">
        <f>YEAR(data_tab[[#This Row],[Order Date]])</f>
        <v>2026</v>
      </c>
      <c r="D192" t="s">
        <v>29</v>
      </c>
      <c r="E192" t="s">
        <v>15</v>
      </c>
      <c r="F192" t="s">
        <v>36</v>
      </c>
      <c r="G192" t="s">
        <v>33</v>
      </c>
      <c r="H192">
        <v>2</v>
      </c>
      <c r="I192">
        <v>93486</v>
      </c>
      <c r="J192">
        <v>82796.600468129895</v>
      </c>
      <c r="K192" t="str">
        <f>IF(AND(data_tab[[#This Row],[Revenue]]="",data_tab[[#This Row],[Cost]]=""),"Remove",IF(OR(data_tab[[#This Row],[Revenue]]="",data_tab[[#This Row],[Cost]]=""),"Flag","Valid"))</f>
        <v>Valid</v>
      </c>
      <c r="L192" t="str">
        <f>IF((COUNTIFS(data_tab[Revenue],data_tab[[#This Row],[Revenue]],data_tab[Cost],data_tab[[#This Row],[Cost]]))&gt;1,"Duplicate","Unique")</f>
        <v>Unique</v>
      </c>
      <c r="M192">
        <f>data_tab[[#This Row],[Revenue]]-data_tab[[#This Row],[Cost]]</f>
        <v>10689.399531870105</v>
      </c>
      <c r="N192" t="str">
        <f>IF(data_tab[[#This Row],[Revenue]]&lt;0,"Return","Sale")</f>
        <v>Sale</v>
      </c>
    </row>
    <row r="193" spans="1:14" hidden="1">
      <c r="A193" s="1">
        <v>46053</v>
      </c>
      <c r="B193">
        <f>MONTH(data_tab[[#This Row],[Order Date]])</f>
        <v>1</v>
      </c>
      <c r="C193">
        <f>YEAR(data_tab[[#This Row],[Order Date]])</f>
        <v>2026</v>
      </c>
      <c r="D193" t="s">
        <v>40</v>
      </c>
      <c r="E193" t="s">
        <v>15</v>
      </c>
      <c r="F193" t="s">
        <v>36</v>
      </c>
      <c r="G193" t="s">
        <v>26</v>
      </c>
      <c r="H193">
        <v>3</v>
      </c>
      <c r="I193">
        <v>149100</v>
      </c>
      <c r="J193">
        <v>132921.12184584999</v>
      </c>
      <c r="K193" t="str">
        <f>IF(AND(data_tab[[#This Row],[Revenue]]="",data_tab[[#This Row],[Cost]]=""),"Remove",IF(OR(data_tab[[#This Row],[Revenue]]="",data_tab[[#This Row],[Cost]]=""),"Flag","Valid"))</f>
        <v>Valid</v>
      </c>
      <c r="L193" t="str">
        <f>IF((COUNTIFS(data_tab[Revenue],data_tab[[#This Row],[Revenue]],data_tab[Cost],data_tab[[#This Row],[Cost]]))&gt;1,"Duplicate","Unique")</f>
        <v>Unique</v>
      </c>
      <c r="M193">
        <f>data_tab[[#This Row],[Revenue]]-data_tab[[#This Row],[Cost]]</f>
        <v>16178.878154150007</v>
      </c>
      <c r="N193" t="str">
        <f>IF(data_tab[[#This Row],[Revenue]]&lt;0,"Return","Sale")</f>
        <v>Sale</v>
      </c>
    </row>
    <row r="194" spans="1:14" hidden="1">
      <c r="A194" s="1">
        <v>46141</v>
      </c>
      <c r="B194">
        <f>MONTH(data_tab[[#This Row],[Order Date]])</f>
        <v>4</v>
      </c>
      <c r="C194">
        <f>YEAR(data_tab[[#This Row],[Order Date]])</f>
        <v>2026</v>
      </c>
      <c r="D194" t="s">
        <v>40</v>
      </c>
      <c r="E194" t="s">
        <v>15</v>
      </c>
      <c r="F194" t="s">
        <v>36</v>
      </c>
      <c r="G194" t="s">
        <v>17</v>
      </c>
      <c r="H194">
        <v>4</v>
      </c>
      <c r="I194">
        <v>128748</v>
      </c>
      <c r="J194">
        <v>82200.949424074701</v>
      </c>
      <c r="K194" t="str">
        <f>IF(AND(data_tab[[#This Row],[Revenue]]="",data_tab[[#This Row],[Cost]]=""),"Remove",IF(OR(data_tab[[#This Row],[Revenue]]="",data_tab[[#This Row],[Cost]]=""),"Flag","Valid"))</f>
        <v>Valid</v>
      </c>
      <c r="L194" t="str">
        <f>IF((COUNTIFS(data_tab[Revenue],data_tab[[#This Row],[Revenue]],data_tab[Cost],data_tab[[#This Row],[Cost]]))&gt;1,"Duplicate","Unique")</f>
        <v>Unique</v>
      </c>
      <c r="M194">
        <f>data_tab[[#This Row],[Revenue]]-data_tab[[#This Row],[Cost]]</f>
        <v>46547.050575925299</v>
      </c>
      <c r="N194" t="str">
        <f>IF(data_tab[[#This Row],[Revenue]]&lt;0,"Return","Sale")</f>
        <v>Sale</v>
      </c>
    </row>
    <row r="195" spans="1:14" hidden="1">
      <c r="A195" s="1">
        <v>46051</v>
      </c>
      <c r="B195">
        <f>MONTH(data_tab[[#This Row],[Order Date]])</f>
        <v>1</v>
      </c>
      <c r="C195">
        <f>YEAR(data_tab[[#This Row],[Order Date]])</f>
        <v>2026</v>
      </c>
      <c r="D195" t="s">
        <v>14</v>
      </c>
      <c r="E195" t="s">
        <v>15</v>
      </c>
      <c r="F195" t="s">
        <v>36</v>
      </c>
      <c r="G195" t="s">
        <v>26</v>
      </c>
      <c r="H195">
        <v>1</v>
      </c>
      <c r="I195">
        <v>17772</v>
      </c>
      <c r="K195" t="str">
        <f>IF(AND(data_tab[[#This Row],[Revenue]]="",data_tab[[#This Row],[Cost]]=""),"Remove",IF(OR(data_tab[[#This Row],[Revenue]]="",data_tab[[#This Row],[Cost]]=""),"Flag","Valid"))</f>
        <v>Flag</v>
      </c>
      <c r="L195" t="str">
        <f>IF((COUNTIFS(data_tab[Revenue],data_tab[[#This Row],[Revenue]],data_tab[Cost],data_tab[[#This Row],[Cost]]))&gt;1,"Duplicate","Unique")</f>
        <v>Unique</v>
      </c>
      <c r="M195">
        <f>data_tab[[#This Row],[Revenue]]-data_tab[[#This Row],[Cost]]</f>
        <v>17772</v>
      </c>
      <c r="N195" t="str">
        <f>IF(data_tab[[#This Row],[Revenue]]&lt;0,"Return","Sale")</f>
        <v>Sale</v>
      </c>
    </row>
    <row r="196" spans="1:14" hidden="1">
      <c r="A196" s="1">
        <v>46203</v>
      </c>
      <c r="B196">
        <f>MONTH(data_tab[[#This Row],[Order Date]])</f>
        <v>6</v>
      </c>
      <c r="C196">
        <f>YEAR(data_tab[[#This Row],[Order Date]])</f>
        <v>2026</v>
      </c>
      <c r="D196" t="s">
        <v>20</v>
      </c>
      <c r="E196" t="s">
        <v>15</v>
      </c>
      <c r="F196" t="s">
        <v>36</v>
      </c>
      <c r="G196" t="s">
        <v>33</v>
      </c>
      <c r="H196">
        <v>4</v>
      </c>
      <c r="I196">
        <v>149492</v>
      </c>
      <c r="J196">
        <v>87738.003507145098</v>
      </c>
      <c r="K196" t="str">
        <f>IF(AND(data_tab[[#This Row],[Revenue]]="",data_tab[[#This Row],[Cost]]=""),"Remove",IF(OR(data_tab[[#This Row],[Revenue]]="",data_tab[[#This Row],[Cost]]=""),"Flag","Valid"))</f>
        <v>Valid</v>
      </c>
      <c r="L196" t="str">
        <f>IF((COUNTIFS(data_tab[Revenue],data_tab[[#This Row],[Revenue]],data_tab[Cost],data_tab[[#This Row],[Cost]]))&gt;1,"Duplicate","Unique")</f>
        <v>Unique</v>
      </c>
      <c r="M196">
        <f>data_tab[[#This Row],[Revenue]]-data_tab[[#This Row],[Cost]]</f>
        <v>61753.996492854902</v>
      </c>
      <c r="N196" t="str">
        <f>IF(data_tab[[#This Row],[Revenue]]&lt;0,"Return","Sale")</f>
        <v>Sale</v>
      </c>
    </row>
    <row r="197" spans="1:14" hidden="1">
      <c r="A197" s="1">
        <v>46097</v>
      </c>
      <c r="B197">
        <f>MONTH(data_tab[[#This Row],[Order Date]])</f>
        <v>3</v>
      </c>
      <c r="C197">
        <f>YEAR(data_tab[[#This Row],[Order Date]])</f>
        <v>2026</v>
      </c>
      <c r="D197" t="s">
        <v>40</v>
      </c>
      <c r="E197" t="s">
        <v>15</v>
      </c>
      <c r="F197" t="s">
        <v>16</v>
      </c>
      <c r="G197" t="s">
        <v>26</v>
      </c>
      <c r="H197">
        <v>10</v>
      </c>
      <c r="I197">
        <v>460750</v>
      </c>
      <c r="J197">
        <v>381202.89273931499</v>
      </c>
      <c r="K197" t="str">
        <f>IF(AND(data_tab[[#This Row],[Revenue]]="",data_tab[[#This Row],[Cost]]=""),"Remove",IF(OR(data_tab[[#This Row],[Revenue]]="",data_tab[[#This Row],[Cost]]=""),"Flag","Valid"))</f>
        <v>Valid</v>
      </c>
      <c r="L197" t="str">
        <f>IF((COUNTIFS(data_tab[Revenue],data_tab[[#This Row],[Revenue]],data_tab[Cost],data_tab[[#This Row],[Cost]]))&gt;1,"Duplicate","Unique")</f>
        <v>Unique</v>
      </c>
      <c r="M197">
        <f>data_tab[[#This Row],[Revenue]]-data_tab[[#This Row],[Cost]]</f>
        <v>79547.107260685007</v>
      </c>
      <c r="N197" t="str">
        <f>IF(data_tab[[#This Row],[Revenue]]&lt;0,"Return","Sale")</f>
        <v>Sale</v>
      </c>
    </row>
    <row r="198" spans="1:14">
      <c r="A198" s="1">
        <v>46156</v>
      </c>
      <c r="B198">
        <f>MONTH(data_tab[[#This Row],[Order Date]])</f>
        <v>5</v>
      </c>
      <c r="C198">
        <f>YEAR(data_tab[[#This Row],[Order Date]])</f>
        <v>2026</v>
      </c>
      <c r="D198" t="s">
        <v>20</v>
      </c>
      <c r="E198" t="s">
        <v>15</v>
      </c>
      <c r="F198" t="s">
        <v>21</v>
      </c>
      <c r="G198" t="s">
        <v>41</v>
      </c>
      <c r="H198">
        <v>7</v>
      </c>
      <c r="I198">
        <v>268996</v>
      </c>
      <c r="J198">
        <v>187826.00374098899</v>
      </c>
      <c r="K198" t="str">
        <f>IF(AND(data_tab[[#This Row],[Revenue]]="",data_tab[[#This Row],[Cost]]=""),"Remove",IF(OR(data_tab[[#This Row],[Revenue]]="",data_tab[[#This Row],[Cost]]=""),"Flag","Valid"))</f>
        <v>Valid</v>
      </c>
      <c r="L198" t="str">
        <f>IF((COUNTIFS(data_tab[Revenue],data_tab[[#This Row],[Revenue]],data_tab[Cost],data_tab[[#This Row],[Cost]]))&gt;1,"Duplicate","Unique")</f>
        <v>Unique</v>
      </c>
      <c r="M198">
        <f>data_tab[[#This Row],[Revenue]]-data_tab[[#This Row],[Cost]]</f>
        <v>81169.996259011008</v>
      </c>
      <c r="N198" t="str">
        <f>IF(data_tab[[#This Row],[Revenue]]&lt;0,"Return","Sale")</f>
        <v>Sale</v>
      </c>
    </row>
    <row r="199" spans="1:14">
      <c r="A199" s="1">
        <v>46157</v>
      </c>
      <c r="B199">
        <f>MONTH(data_tab[[#This Row],[Order Date]])</f>
        <v>5</v>
      </c>
      <c r="C199">
        <f>YEAR(data_tab[[#This Row],[Order Date]])</f>
        <v>2026</v>
      </c>
      <c r="D199" t="s">
        <v>31</v>
      </c>
      <c r="E199" t="s">
        <v>32</v>
      </c>
      <c r="F199" t="s">
        <v>16</v>
      </c>
      <c r="G199" t="s">
        <v>33</v>
      </c>
      <c r="H199">
        <v>3</v>
      </c>
      <c r="I199">
        <v>111759</v>
      </c>
      <c r="J199">
        <v>77047.495940179695</v>
      </c>
      <c r="K199" t="str">
        <f>IF(AND(data_tab[[#This Row],[Revenue]]="",data_tab[[#This Row],[Cost]]=""),"Remove",IF(OR(data_tab[[#This Row],[Revenue]]="",data_tab[[#This Row],[Cost]]=""),"Flag","Valid"))</f>
        <v>Valid</v>
      </c>
      <c r="L199" t="str">
        <f>IF((COUNTIFS(data_tab[Revenue],data_tab[[#This Row],[Revenue]],data_tab[Cost],data_tab[[#This Row],[Cost]]))&gt;1,"Duplicate","Unique")</f>
        <v>Unique</v>
      </c>
      <c r="M199">
        <f>data_tab[[#This Row],[Revenue]]-data_tab[[#This Row],[Cost]]</f>
        <v>34711.504059820305</v>
      </c>
      <c r="N199" t="str">
        <f>IF(data_tab[[#This Row],[Revenue]]&lt;0,"Return","Sale")</f>
        <v>Sale</v>
      </c>
    </row>
    <row r="200" spans="1:14" hidden="1">
      <c r="A200" s="1">
        <v>46141</v>
      </c>
      <c r="B200">
        <f>MONTH(data_tab[[#This Row],[Order Date]])</f>
        <v>4</v>
      </c>
      <c r="C200">
        <f>YEAR(data_tab[[#This Row],[Order Date]])</f>
        <v>2026</v>
      </c>
      <c r="D200" t="s">
        <v>29</v>
      </c>
      <c r="E200" t="s">
        <v>15</v>
      </c>
      <c r="F200" t="s">
        <v>21</v>
      </c>
      <c r="G200" t="s">
        <v>33</v>
      </c>
      <c r="H200">
        <v>4</v>
      </c>
      <c r="I200">
        <v>74844</v>
      </c>
      <c r="J200">
        <v>43509.4137796586</v>
      </c>
      <c r="K200" t="str">
        <f>IF(AND(data_tab[[#This Row],[Revenue]]="",data_tab[[#This Row],[Cost]]=""),"Remove",IF(OR(data_tab[[#This Row],[Revenue]]="",data_tab[[#This Row],[Cost]]=""),"Flag","Valid"))</f>
        <v>Valid</v>
      </c>
      <c r="L200" t="str">
        <f>IF((COUNTIFS(data_tab[Revenue],data_tab[[#This Row],[Revenue]],data_tab[Cost],data_tab[[#This Row],[Cost]]))&gt;1,"Duplicate","Unique")</f>
        <v>Duplicate</v>
      </c>
      <c r="M200">
        <f>data_tab[[#This Row],[Revenue]]-data_tab[[#This Row],[Cost]]</f>
        <v>31334.5862203414</v>
      </c>
      <c r="N200" t="str">
        <f>IF(data_tab[[#This Row],[Revenue]]&lt;0,"Return","Sale")</f>
        <v>Sale</v>
      </c>
    </row>
    <row r="201" spans="1:14" hidden="1">
      <c r="A201" s="1">
        <v>46046</v>
      </c>
      <c r="B201">
        <f>MONTH(data_tab[[#This Row],[Order Date]])</f>
        <v>1</v>
      </c>
      <c r="C201">
        <f>YEAR(data_tab[[#This Row],[Order Date]])</f>
        <v>2026</v>
      </c>
      <c r="D201" t="s">
        <v>20</v>
      </c>
      <c r="E201" t="s">
        <v>15</v>
      </c>
      <c r="F201" t="s">
        <v>16</v>
      </c>
      <c r="G201" t="s">
        <v>33</v>
      </c>
      <c r="H201">
        <v>10</v>
      </c>
      <c r="I201">
        <v>415130</v>
      </c>
      <c r="J201">
        <v>214131.95047118</v>
      </c>
      <c r="K201" t="str">
        <f>IF(AND(data_tab[[#This Row],[Revenue]]="",data_tab[[#This Row],[Cost]]=""),"Remove",IF(OR(data_tab[[#This Row],[Revenue]]="",data_tab[[#This Row],[Cost]]=""),"Flag","Valid"))</f>
        <v>Valid</v>
      </c>
      <c r="L201" t="str">
        <f>IF((COUNTIFS(data_tab[Revenue],data_tab[[#This Row],[Revenue]],data_tab[Cost],data_tab[[#This Row],[Cost]]))&gt;1,"Duplicate","Unique")</f>
        <v>Unique</v>
      </c>
      <c r="M201">
        <f>data_tab[[#This Row],[Revenue]]-data_tab[[#This Row],[Cost]]</f>
        <v>200998.04952882</v>
      </c>
      <c r="N201" t="str">
        <f>IF(data_tab[[#This Row],[Revenue]]&lt;0,"Return","Sale")</f>
        <v>Sale</v>
      </c>
    </row>
    <row r="202" spans="1:14" hidden="1">
      <c r="A202" s="1">
        <v>46194</v>
      </c>
      <c r="B202">
        <f>MONTH(data_tab[[#This Row],[Order Date]])</f>
        <v>6</v>
      </c>
      <c r="C202">
        <f>YEAR(data_tab[[#This Row],[Order Date]])</f>
        <v>2026</v>
      </c>
      <c r="D202" t="s">
        <v>23</v>
      </c>
      <c r="E202" t="s">
        <v>15</v>
      </c>
      <c r="F202" t="s">
        <v>16</v>
      </c>
      <c r="G202" t="s">
        <v>37</v>
      </c>
      <c r="H202">
        <v>1</v>
      </c>
      <c r="I202">
        <v>15881</v>
      </c>
      <c r="J202">
        <v>13893.7136797659</v>
      </c>
      <c r="K202" t="str">
        <f>IF(AND(data_tab[[#This Row],[Revenue]]="",data_tab[[#This Row],[Cost]]=""),"Remove",IF(OR(data_tab[[#This Row],[Revenue]]="",data_tab[[#This Row],[Cost]]=""),"Flag","Valid"))</f>
        <v>Valid</v>
      </c>
      <c r="L202" t="str">
        <f>IF((COUNTIFS(data_tab[Revenue],data_tab[[#This Row],[Revenue]],data_tab[Cost],data_tab[[#This Row],[Cost]]))&gt;1,"Duplicate","Unique")</f>
        <v>Unique</v>
      </c>
      <c r="M202">
        <f>data_tab[[#This Row],[Revenue]]-data_tab[[#This Row],[Cost]]</f>
        <v>1987.2863202340995</v>
      </c>
      <c r="N202" t="str">
        <f>IF(data_tab[[#This Row],[Revenue]]&lt;0,"Return","Sale")</f>
        <v>Sale</v>
      </c>
    </row>
    <row r="203" spans="1:14">
      <c r="A203" s="1">
        <v>46145</v>
      </c>
      <c r="B203">
        <f>MONTH(data_tab[[#This Row],[Order Date]])</f>
        <v>5</v>
      </c>
      <c r="C203">
        <f>YEAR(data_tab[[#This Row],[Order Date]])</f>
        <v>2026</v>
      </c>
      <c r="D203" t="s">
        <v>14</v>
      </c>
      <c r="E203" t="s">
        <v>15</v>
      </c>
      <c r="F203" t="s">
        <v>21</v>
      </c>
      <c r="G203" t="s">
        <v>33</v>
      </c>
      <c r="H203">
        <v>4</v>
      </c>
      <c r="I203">
        <v>152724</v>
      </c>
      <c r="J203">
        <v>96009.332243262397</v>
      </c>
      <c r="K203" t="str">
        <f>IF(AND(data_tab[[#This Row],[Revenue]]="",data_tab[[#This Row],[Cost]]=""),"Remove",IF(OR(data_tab[[#This Row],[Revenue]]="",data_tab[[#This Row],[Cost]]=""),"Flag","Valid"))</f>
        <v>Valid</v>
      </c>
      <c r="L203" t="str">
        <f>IF((COUNTIFS(data_tab[Revenue],data_tab[[#This Row],[Revenue]],data_tab[Cost],data_tab[[#This Row],[Cost]]))&gt;1,"Duplicate","Unique")</f>
        <v>Unique</v>
      </c>
      <c r="M203">
        <f>data_tab[[#This Row],[Revenue]]-data_tab[[#This Row],[Cost]]</f>
        <v>56714.667756737603</v>
      </c>
      <c r="N203" t="str">
        <f>IF(data_tab[[#This Row],[Revenue]]&lt;0,"Return","Sale")</f>
        <v>Sale</v>
      </c>
    </row>
    <row r="204" spans="1:14" hidden="1">
      <c r="A204" s="1">
        <v>46101</v>
      </c>
      <c r="B204">
        <f>MONTH(data_tab[[#This Row],[Order Date]])</f>
        <v>3</v>
      </c>
      <c r="C204">
        <f>YEAR(data_tab[[#This Row],[Order Date]])</f>
        <v>2026</v>
      </c>
      <c r="D204" t="s">
        <v>29</v>
      </c>
      <c r="E204" t="s">
        <v>15</v>
      </c>
      <c r="F204" t="s">
        <v>36</v>
      </c>
      <c r="G204" t="s">
        <v>39</v>
      </c>
      <c r="H204">
        <v>8</v>
      </c>
      <c r="I204">
        <v>183888</v>
      </c>
      <c r="J204">
        <v>159197.76271250399</v>
      </c>
      <c r="K204" t="str">
        <f>IF(AND(data_tab[[#This Row],[Revenue]]="",data_tab[[#This Row],[Cost]]=""),"Remove",IF(OR(data_tab[[#This Row],[Revenue]]="",data_tab[[#This Row],[Cost]]=""),"Flag","Valid"))</f>
        <v>Valid</v>
      </c>
      <c r="L204" t="str">
        <f>IF((COUNTIFS(data_tab[Revenue],data_tab[[#This Row],[Revenue]],data_tab[Cost],data_tab[[#This Row],[Cost]]))&gt;1,"Duplicate","Unique")</f>
        <v>Unique</v>
      </c>
      <c r="M204">
        <f>data_tab[[#This Row],[Revenue]]-data_tab[[#This Row],[Cost]]</f>
        <v>24690.237287496013</v>
      </c>
      <c r="N204" t="str">
        <f>IF(data_tab[[#This Row],[Revenue]]&lt;0,"Return","Sale")</f>
        <v>Sale</v>
      </c>
    </row>
    <row r="205" spans="1:14" hidden="1">
      <c r="A205" s="1">
        <v>46079</v>
      </c>
      <c r="B205">
        <f>MONTH(data_tab[[#This Row],[Order Date]])</f>
        <v>2</v>
      </c>
      <c r="C205">
        <f>YEAR(data_tab[[#This Row],[Order Date]])</f>
        <v>2026</v>
      </c>
      <c r="D205" t="s">
        <v>40</v>
      </c>
      <c r="E205" t="s">
        <v>15</v>
      </c>
      <c r="F205" t="s">
        <v>36</v>
      </c>
      <c r="G205" t="s">
        <v>37</v>
      </c>
      <c r="H205">
        <v>3</v>
      </c>
      <c r="I205">
        <v>44571</v>
      </c>
      <c r="J205">
        <v>28166.470264527601</v>
      </c>
      <c r="K205" t="str">
        <f>IF(AND(data_tab[[#This Row],[Revenue]]="",data_tab[[#This Row],[Cost]]=""),"Remove",IF(OR(data_tab[[#This Row],[Revenue]]="",data_tab[[#This Row],[Cost]]=""),"Flag","Valid"))</f>
        <v>Valid</v>
      </c>
      <c r="L205" t="str">
        <f>IF((COUNTIFS(data_tab[Revenue],data_tab[[#This Row],[Revenue]],data_tab[Cost],data_tab[[#This Row],[Cost]]))&gt;1,"Duplicate","Unique")</f>
        <v>Unique</v>
      </c>
      <c r="M205">
        <f>data_tab[[#This Row],[Revenue]]-data_tab[[#This Row],[Cost]]</f>
        <v>16404.529735472399</v>
      </c>
      <c r="N205" t="str">
        <f>IF(data_tab[[#This Row],[Revenue]]&lt;0,"Return","Sale")</f>
        <v>Sale</v>
      </c>
    </row>
    <row r="206" spans="1:14" hidden="1">
      <c r="A206" s="1">
        <v>46190</v>
      </c>
      <c r="B206">
        <f>MONTH(data_tab[[#This Row],[Order Date]])</f>
        <v>6</v>
      </c>
      <c r="C206">
        <f>YEAR(data_tab[[#This Row],[Order Date]])</f>
        <v>2026</v>
      </c>
      <c r="D206" t="s">
        <v>23</v>
      </c>
      <c r="E206" t="s">
        <v>15</v>
      </c>
      <c r="F206" t="s">
        <v>36</v>
      </c>
      <c r="G206" t="s">
        <v>41</v>
      </c>
      <c r="H206">
        <v>8</v>
      </c>
      <c r="I206">
        <v>257600</v>
      </c>
      <c r="J206">
        <v>146134.79487884601</v>
      </c>
      <c r="K206" t="str">
        <f>IF(AND(data_tab[[#This Row],[Revenue]]="",data_tab[[#This Row],[Cost]]=""),"Remove",IF(OR(data_tab[[#This Row],[Revenue]]="",data_tab[[#This Row],[Cost]]=""),"Flag","Valid"))</f>
        <v>Valid</v>
      </c>
      <c r="L206" t="str">
        <f>IF((COUNTIFS(data_tab[Revenue],data_tab[[#This Row],[Revenue]],data_tab[Cost],data_tab[[#This Row],[Cost]]))&gt;1,"Duplicate","Unique")</f>
        <v>Unique</v>
      </c>
      <c r="M206">
        <f>data_tab[[#This Row],[Revenue]]-data_tab[[#This Row],[Cost]]</f>
        <v>111465.20512115399</v>
      </c>
      <c r="N206" t="str">
        <f>IF(data_tab[[#This Row],[Revenue]]&lt;0,"Return","Sale")</f>
        <v>Sale</v>
      </c>
    </row>
    <row r="207" spans="1:14" hidden="1">
      <c r="A207" s="1">
        <v>46178</v>
      </c>
      <c r="B207">
        <f>MONTH(data_tab[[#This Row],[Order Date]])</f>
        <v>6</v>
      </c>
      <c r="C207">
        <f>YEAR(data_tab[[#This Row],[Order Date]])</f>
        <v>2026</v>
      </c>
      <c r="D207" t="s">
        <v>40</v>
      </c>
      <c r="E207" t="s">
        <v>15</v>
      </c>
      <c r="F207" t="s">
        <v>24</v>
      </c>
      <c r="G207" t="s">
        <v>26</v>
      </c>
      <c r="H207">
        <v>1</v>
      </c>
      <c r="I207">
        <v>6871</v>
      </c>
      <c r="J207">
        <v>6033.2550048245403</v>
      </c>
      <c r="K207" t="str">
        <f>IF(AND(data_tab[[#This Row],[Revenue]]="",data_tab[[#This Row],[Cost]]=""),"Remove",IF(OR(data_tab[[#This Row],[Revenue]]="",data_tab[[#This Row],[Cost]]=""),"Flag","Valid"))</f>
        <v>Valid</v>
      </c>
      <c r="L207" t="str">
        <f>IF((COUNTIFS(data_tab[Revenue],data_tab[[#This Row],[Revenue]],data_tab[Cost],data_tab[[#This Row],[Cost]]))&gt;1,"Duplicate","Unique")</f>
        <v>Unique</v>
      </c>
      <c r="M207">
        <f>data_tab[[#This Row],[Revenue]]-data_tab[[#This Row],[Cost]]</f>
        <v>837.74499517545974</v>
      </c>
      <c r="N207" t="str">
        <f>IF(data_tab[[#This Row],[Revenue]]&lt;0,"Return","Sale")</f>
        <v>Sale</v>
      </c>
    </row>
    <row r="208" spans="1:14" hidden="1">
      <c r="A208" s="1">
        <v>46184</v>
      </c>
      <c r="B208">
        <f>MONTH(data_tab[[#This Row],[Order Date]])</f>
        <v>6</v>
      </c>
      <c r="C208">
        <f>YEAR(data_tab[[#This Row],[Order Date]])</f>
        <v>2026</v>
      </c>
      <c r="D208" t="s">
        <v>20</v>
      </c>
      <c r="E208" t="s">
        <v>15</v>
      </c>
      <c r="F208" t="s">
        <v>21</v>
      </c>
      <c r="G208" t="s">
        <v>26</v>
      </c>
      <c r="H208">
        <v>8</v>
      </c>
      <c r="I208">
        <v>211664</v>
      </c>
      <c r="J208">
        <v>110950.045587842</v>
      </c>
      <c r="K208" t="str">
        <f>IF(AND(data_tab[[#This Row],[Revenue]]="",data_tab[[#This Row],[Cost]]=""),"Remove",IF(OR(data_tab[[#This Row],[Revenue]]="",data_tab[[#This Row],[Cost]]=""),"Flag","Valid"))</f>
        <v>Valid</v>
      </c>
      <c r="L208" t="str">
        <f>IF((COUNTIFS(data_tab[Revenue],data_tab[[#This Row],[Revenue]],data_tab[Cost],data_tab[[#This Row],[Cost]]))&gt;1,"Duplicate","Unique")</f>
        <v>Unique</v>
      </c>
      <c r="M208">
        <f>data_tab[[#This Row],[Revenue]]-data_tab[[#This Row],[Cost]]</f>
        <v>100713.954412158</v>
      </c>
      <c r="N208" t="str">
        <f>IF(data_tab[[#This Row],[Revenue]]&lt;0,"Return","Sale")</f>
        <v>Sale</v>
      </c>
    </row>
    <row r="209" spans="1:14" hidden="1">
      <c r="A209" s="1">
        <v>46191</v>
      </c>
      <c r="B209">
        <f>MONTH(data_tab[[#This Row],[Order Date]])</f>
        <v>6</v>
      </c>
      <c r="C209">
        <f>YEAR(data_tab[[#This Row],[Order Date]])</f>
        <v>2026</v>
      </c>
      <c r="D209" t="s">
        <v>40</v>
      </c>
      <c r="E209" t="s">
        <v>15</v>
      </c>
      <c r="F209" t="s">
        <v>36</v>
      </c>
      <c r="G209" t="s">
        <v>39</v>
      </c>
      <c r="H209">
        <v>1</v>
      </c>
      <c r="I209">
        <v>36695</v>
      </c>
      <c r="J209">
        <v>28947.8447680223</v>
      </c>
      <c r="K209" t="str">
        <f>IF(AND(data_tab[[#This Row],[Revenue]]="",data_tab[[#This Row],[Cost]]=""),"Remove",IF(OR(data_tab[[#This Row],[Revenue]]="",data_tab[[#This Row],[Cost]]=""),"Flag","Valid"))</f>
        <v>Valid</v>
      </c>
      <c r="L209" t="str">
        <f>IF((COUNTIFS(data_tab[Revenue],data_tab[[#This Row],[Revenue]],data_tab[Cost],data_tab[[#This Row],[Cost]]))&gt;1,"Duplicate","Unique")</f>
        <v>Unique</v>
      </c>
      <c r="M209">
        <f>data_tab[[#This Row],[Revenue]]-data_tab[[#This Row],[Cost]]</f>
        <v>7747.1552319777002</v>
      </c>
      <c r="N209" t="str">
        <f>IF(data_tab[[#This Row],[Revenue]]&lt;0,"Return","Sale")</f>
        <v>Sale</v>
      </c>
    </row>
    <row r="210" spans="1:14" hidden="1">
      <c r="A210" s="1">
        <v>46201</v>
      </c>
      <c r="B210">
        <f>MONTH(data_tab[[#This Row],[Order Date]])</f>
        <v>6</v>
      </c>
      <c r="C210">
        <f>YEAR(data_tab[[#This Row],[Order Date]])</f>
        <v>2026</v>
      </c>
      <c r="D210" t="s">
        <v>31</v>
      </c>
      <c r="E210" t="s">
        <v>32</v>
      </c>
      <c r="F210" t="s">
        <v>24</v>
      </c>
      <c r="G210" t="s">
        <v>39</v>
      </c>
      <c r="H210">
        <v>9</v>
      </c>
      <c r="I210">
        <v>105822</v>
      </c>
      <c r="J210">
        <v>63110.921509232001</v>
      </c>
      <c r="K210" t="str">
        <f>IF(AND(data_tab[[#This Row],[Revenue]]="",data_tab[[#This Row],[Cost]]=""),"Remove",IF(OR(data_tab[[#This Row],[Revenue]]="",data_tab[[#This Row],[Cost]]=""),"Flag","Valid"))</f>
        <v>Valid</v>
      </c>
      <c r="L210" t="str">
        <f>IF((COUNTIFS(data_tab[Revenue],data_tab[[#This Row],[Revenue]],data_tab[Cost],data_tab[[#This Row],[Cost]]))&gt;1,"Duplicate","Unique")</f>
        <v>Unique</v>
      </c>
      <c r="M210">
        <f>data_tab[[#This Row],[Revenue]]-data_tab[[#This Row],[Cost]]</f>
        <v>42711.078490767999</v>
      </c>
      <c r="N210" t="str">
        <f>IF(data_tab[[#This Row],[Revenue]]&lt;0,"Return","Sale")</f>
        <v>Sale</v>
      </c>
    </row>
    <row r="211" spans="1:14" hidden="1">
      <c r="A211" s="1">
        <v>46360</v>
      </c>
      <c r="B211">
        <f>MONTH(data_tab[[#This Row],[Order Date]])</f>
        <v>12</v>
      </c>
      <c r="C211">
        <f>YEAR(data_tab[[#This Row],[Order Date]])</f>
        <v>2026</v>
      </c>
      <c r="D211" t="s">
        <v>29</v>
      </c>
      <c r="E211" t="s">
        <v>15</v>
      </c>
      <c r="F211" t="s">
        <v>36</v>
      </c>
      <c r="G211" t="s">
        <v>26</v>
      </c>
      <c r="H211">
        <v>4</v>
      </c>
      <c r="I211">
        <v>190776</v>
      </c>
      <c r="J211">
        <v>112623.257290899</v>
      </c>
      <c r="K211" t="str">
        <f>IF(AND(data_tab[[#This Row],[Revenue]]="",data_tab[[#This Row],[Cost]]=""),"Remove",IF(OR(data_tab[[#This Row],[Revenue]]="",data_tab[[#This Row],[Cost]]=""),"Flag","Valid"))</f>
        <v>Valid</v>
      </c>
      <c r="L211" t="str">
        <f>IF((COUNTIFS(data_tab[Revenue],data_tab[[#This Row],[Revenue]],data_tab[Cost],data_tab[[#This Row],[Cost]]))&gt;1,"Duplicate","Unique")</f>
        <v>Unique</v>
      </c>
      <c r="M211">
        <f>data_tab[[#This Row],[Revenue]]-data_tab[[#This Row],[Cost]]</f>
        <v>78152.742709101003</v>
      </c>
      <c r="N211" t="str">
        <f>IF(data_tab[[#This Row],[Revenue]]&lt;0,"Return","Sale")</f>
        <v>Sale</v>
      </c>
    </row>
    <row r="212" spans="1:14" hidden="1">
      <c r="A212" s="1">
        <v>46189</v>
      </c>
      <c r="B212">
        <f>MONTH(data_tab[[#This Row],[Order Date]])</f>
        <v>6</v>
      </c>
      <c r="C212">
        <f>YEAR(data_tab[[#This Row],[Order Date]])</f>
        <v>2026</v>
      </c>
      <c r="D212" t="s">
        <v>29</v>
      </c>
      <c r="E212" t="s">
        <v>15</v>
      </c>
      <c r="F212" t="s">
        <v>36</v>
      </c>
      <c r="G212" t="s">
        <v>26</v>
      </c>
      <c r="H212">
        <v>8</v>
      </c>
      <c r="I212">
        <v>45416</v>
      </c>
      <c r="J212">
        <v>34275.420239773899</v>
      </c>
      <c r="K212" t="str">
        <f>IF(AND(data_tab[[#This Row],[Revenue]]="",data_tab[[#This Row],[Cost]]=""),"Remove",IF(OR(data_tab[[#This Row],[Revenue]]="",data_tab[[#This Row],[Cost]]=""),"Flag","Valid"))</f>
        <v>Valid</v>
      </c>
      <c r="L212" t="str">
        <f>IF((COUNTIFS(data_tab[Revenue],data_tab[[#This Row],[Revenue]],data_tab[Cost],data_tab[[#This Row],[Cost]]))&gt;1,"Duplicate","Unique")</f>
        <v>Duplicate</v>
      </c>
      <c r="M212">
        <f>data_tab[[#This Row],[Revenue]]-data_tab[[#This Row],[Cost]]</f>
        <v>11140.579760226101</v>
      </c>
      <c r="N212" t="str">
        <f>IF(data_tab[[#This Row],[Revenue]]&lt;0,"Return","Sale")</f>
        <v>Sale</v>
      </c>
    </row>
    <row r="213" spans="1:14" hidden="1">
      <c r="A213" s="1">
        <v>46188</v>
      </c>
      <c r="B213">
        <f>MONTH(data_tab[[#This Row],[Order Date]])</f>
        <v>6</v>
      </c>
      <c r="C213">
        <f>YEAR(data_tab[[#This Row],[Order Date]])</f>
        <v>2026</v>
      </c>
      <c r="D213" t="s">
        <v>23</v>
      </c>
      <c r="E213" t="s">
        <v>15</v>
      </c>
      <c r="F213" t="s">
        <v>24</v>
      </c>
      <c r="G213" t="s">
        <v>26</v>
      </c>
      <c r="H213">
        <v>1</v>
      </c>
      <c r="I213">
        <v>17057</v>
      </c>
      <c r="J213">
        <v>9970.9562888890796</v>
      </c>
      <c r="K213" t="str">
        <f>IF(AND(data_tab[[#This Row],[Revenue]]="",data_tab[[#This Row],[Cost]]=""),"Remove",IF(OR(data_tab[[#This Row],[Revenue]]="",data_tab[[#This Row],[Cost]]=""),"Flag","Valid"))</f>
        <v>Valid</v>
      </c>
      <c r="L213" t="str">
        <f>IF((COUNTIFS(data_tab[Revenue],data_tab[[#This Row],[Revenue]],data_tab[Cost],data_tab[[#This Row],[Cost]]))&gt;1,"Duplicate","Unique")</f>
        <v>Unique</v>
      </c>
      <c r="M213">
        <f>data_tab[[#This Row],[Revenue]]-data_tab[[#This Row],[Cost]]</f>
        <v>7086.0437111109204</v>
      </c>
      <c r="N213" t="str">
        <f>IF(data_tab[[#This Row],[Revenue]]&lt;0,"Return","Sale")</f>
        <v>Sale</v>
      </c>
    </row>
    <row r="214" spans="1:14" hidden="1">
      <c r="A214" s="1">
        <v>46034</v>
      </c>
      <c r="B214">
        <f>MONTH(data_tab[[#This Row],[Order Date]])</f>
        <v>1</v>
      </c>
      <c r="C214">
        <f>YEAR(data_tab[[#This Row],[Order Date]])</f>
        <v>2026</v>
      </c>
      <c r="D214" t="s">
        <v>35</v>
      </c>
      <c r="E214" t="s">
        <v>32</v>
      </c>
      <c r="F214" t="s">
        <v>24</v>
      </c>
      <c r="G214" t="s">
        <v>17</v>
      </c>
      <c r="H214">
        <v>6</v>
      </c>
      <c r="I214">
        <v>18156</v>
      </c>
      <c r="J214">
        <v>16060.5738445555</v>
      </c>
      <c r="K214" t="str">
        <f>IF(AND(data_tab[[#This Row],[Revenue]]="",data_tab[[#This Row],[Cost]]=""),"Remove",IF(OR(data_tab[[#This Row],[Revenue]]="",data_tab[[#This Row],[Cost]]=""),"Flag","Valid"))</f>
        <v>Valid</v>
      </c>
      <c r="L214" t="str">
        <f>IF((COUNTIFS(data_tab[Revenue],data_tab[[#This Row],[Revenue]],data_tab[Cost],data_tab[[#This Row],[Cost]]))&gt;1,"Duplicate","Unique")</f>
        <v>Unique</v>
      </c>
      <c r="M214">
        <f>data_tab[[#This Row],[Revenue]]-data_tab[[#This Row],[Cost]]</f>
        <v>2095.4261554445002</v>
      </c>
      <c r="N214" t="str">
        <f>IF(data_tab[[#This Row],[Revenue]]&lt;0,"Return","Sale")</f>
        <v>Sale</v>
      </c>
    </row>
    <row r="215" spans="1:14" hidden="1">
      <c r="A215" s="1">
        <v>46124</v>
      </c>
      <c r="B215">
        <f>MONTH(data_tab[[#This Row],[Order Date]])</f>
        <v>4</v>
      </c>
      <c r="C215">
        <f>YEAR(data_tab[[#This Row],[Order Date]])</f>
        <v>2026</v>
      </c>
      <c r="D215" t="s">
        <v>40</v>
      </c>
      <c r="E215" t="s">
        <v>15</v>
      </c>
      <c r="F215" t="s">
        <v>21</v>
      </c>
      <c r="G215" t="s">
        <v>26</v>
      </c>
      <c r="H215">
        <v>7</v>
      </c>
      <c r="I215">
        <v>324590</v>
      </c>
      <c r="J215">
        <v>278696.319484565</v>
      </c>
      <c r="K215" t="str">
        <f>IF(AND(data_tab[[#This Row],[Revenue]]="",data_tab[[#This Row],[Cost]]=""),"Remove",IF(OR(data_tab[[#This Row],[Revenue]]="",data_tab[[#This Row],[Cost]]=""),"Flag","Valid"))</f>
        <v>Valid</v>
      </c>
      <c r="L215" t="str">
        <f>IF((COUNTIFS(data_tab[Revenue],data_tab[[#This Row],[Revenue]],data_tab[Cost],data_tab[[#This Row],[Cost]]))&gt;1,"Duplicate","Unique")</f>
        <v>Unique</v>
      </c>
      <c r="M215">
        <f>data_tab[[#This Row],[Revenue]]-data_tab[[#This Row],[Cost]]</f>
        <v>45893.680515435</v>
      </c>
      <c r="N215" t="str">
        <f>IF(data_tab[[#This Row],[Revenue]]&lt;0,"Return","Sale")</f>
        <v>Sale</v>
      </c>
    </row>
    <row r="216" spans="1:14" hidden="1">
      <c r="A216" s="1">
        <v>46199</v>
      </c>
      <c r="B216">
        <f>MONTH(data_tab[[#This Row],[Order Date]])</f>
        <v>6</v>
      </c>
      <c r="C216">
        <f>YEAR(data_tab[[#This Row],[Order Date]])</f>
        <v>2026</v>
      </c>
      <c r="D216" t="s">
        <v>35</v>
      </c>
      <c r="E216" t="s">
        <v>32</v>
      </c>
      <c r="F216" t="s">
        <v>24</v>
      </c>
      <c r="G216" t="s">
        <v>39</v>
      </c>
      <c r="H216">
        <v>7</v>
      </c>
      <c r="I216">
        <v>120491</v>
      </c>
      <c r="J216">
        <v>100666.599268187</v>
      </c>
      <c r="K216" t="str">
        <f>IF(AND(data_tab[[#This Row],[Revenue]]="",data_tab[[#This Row],[Cost]]=""),"Remove",IF(OR(data_tab[[#This Row],[Revenue]]="",data_tab[[#This Row],[Cost]]=""),"Flag","Valid"))</f>
        <v>Valid</v>
      </c>
      <c r="L216" t="str">
        <f>IF((COUNTIFS(data_tab[Revenue],data_tab[[#This Row],[Revenue]],data_tab[Cost],data_tab[[#This Row],[Cost]]))&gt;1,"Duplicate","Unique")</f>
        <v>Unique</v>
      </c>
      <c r="M216">
        <f>data_tab[[#This Row],[Revenue]]-data_tab[[#This Row],[Cost]]</f>
        <v>19824.400731813002</v>
      </c>
      <c r="N216" t="str">
        <f>IF(data_tab[[#This Row],[Revenue]]&lt;0,"Return","Sale")</f>
        <v>Sale</v>
      </c>
    </row>
    <row r="217" spans="1:14" hidden="1">
      <c r="A217" s="1">
        <v>46124</v>
      </c>
      <c r="B217">
        <f>MONTH(data_tab[[#This Row],[Order Date]])</f>
        <v>4</v>
      </c>
      <c r="C217">
        <f>YEAR(data_tab[[#This Row],[Order Date]])</f>
        <v>2026</v>
      </c>
      <c r="D217" t="s">
        <v>14</v>
      </c>
      <c r="E217" t="s">
        <v>15</v>
      </c>
      <c r="F217" t="s">
        <v>16</v>
      </c>
      <c r="G217" t="s">
        <v>33</v>
      </c>
      <c r="H217">
        <v>8</v>
      </c>
      <c r="I217">
        <v>135608</v>
      </c>
      <c r="J217">
        <v>87104.337959397802</v>
      </c>
      <c r="K217" t="str">
        <f>IF(AND(data_tab[[#This Row],[Revenue]]="",data_tab[[#This Row],[Cost]]=""),"Remove",IF(OR(data_tab[[#This Row],[Revenue]]="",data_tab[[#This Row],[Cost]]=""),"Flag","Valid"))</f>
        <v>Valid</v>
      </c>
      <c r="L217" t="str">
        <f>IF((COUNTIFS(data_tab[Revenue],data_tab[[#This Row],[Revenue]],data_tab[Cost],data_tab[[#This Row],[Cost]]))&gt;1,"Duplicate","Unique")</f>
        <v>Unique</v>
      </c>
      <c r="M217">
        <f>data_tab[[#This Row],[Revenue]]-data_tab[[#This Row],[Cost]]</f>
        <v>48503.662040602198</v>
      </c>
      <c r="N217" t="str">
        <f>IF(data_tab[[#This Row],[Revenue]]&lt;0,"Return","Sale")</f>
        <v>Sale</v>
      </c>
    </row>
    <row r="218" spans="1:14" hidden="1">
      <c r="A218" s="1">
        <v>46192</v>
      </c>
      <c r="B218">
        <f>MONTH(data_tab[[#This Row],[Order Date]])</f>
        <v>6</v>
      </c>
      <c r="C218">
        <f>YEAR(data_tab[[#This Row],[Order Date]])</f>
        <v>2026</v>
      </c>
      <c r="D218" t="s">
        <v>35</v>
      </c>
      <c r="E218" t="s">
        <v>32</v>
      </c>
      <c r="F218" t="s">
        <v>21</v>
      </c>
      <c r="G218" t="s">
        <v>41</v>
      </c>
      <c r="H218">
        <v>2</v>
      </c>
      <c r="I218">
        <v>14752</v>
      </c>
      <c r="J218">
        <v>8957.2493599029403</v>
      </c>
      <c r="K218" t="str">
        <f>IF(AND(data_tab[[#This Row],[Revenue]]="",data_tab[[#This Row],[Cost]]=""),"Remove",IF(OR(data_tab[[#This Row],[Revenue]]="",data_tab[[#This Row],[Cost]]=""),"Flag","Valid"))</f>
        <v>Valid</v>
      </c>
      <c r="L218" t="str">
        <f>IF((COUNTIFS(data_tab[Revenue],data_tab[[#This Row],[Revenue]],data_tab[Cost],data_tab[[#This Row],[Cost]]))&gt;1,"Duplicate","Unique")</f>
        <v>Unique</v>
      </c>
      <c r="M218">
        <f>data_tab[[#This Row],[Revenue]]-data_tab[[#This Row],[Cost]]</f>
        <v>5794.7506400970597</v>
      </c>
      <c r="N218" t="str">
        <f>IF(data_tab[[#This Row],[Revenue]]&lt;0,"Return","Sale")</f>
        <v>Sale</v>
      </c>
    </row>
    <row r="219" spans="1:14" hidden="1">
      <c r="A219" s="1">
        <v>46122</v>
      </c>
      <c r="B219">
        <f>MONTH(data_tab[[#This Row],[Order Date]])</f>
        <v>4</v>
      </c>
      <c r="C219">
        <f>YEAR(data_tab[[#This Row],[Order Date]])</f>
        <v>2026</v>
      </c>
      <c r="D219" t="s">
        <v>20</v>
      </c>
      <c r="E219" t="s">
        <v>15</v>
      </c>
      <c r="F219" t="s">
        <v>16</v>
      </c>
      <c r="G219" t="s">
        <v>33</v>
      </c>
      <c r="H219">
        <v>6</v>
      </c>
      <c r="I219">
        <v>118074</v>
      </c>
      <c r="J219">
        <v>63865.348796002902</v>
      </c>
      <c r="K219" t="str">
        <f>IF(AND(data_tab[[#This Row],[Revenue]]="",data_tab[[#This Row],[Cost]]=""),"Remove",IF(OR(data_tab[[#This Row],[Revenue]]="",data_tab[[#This Row],[Cost]]=""),"Flag","Valid"))</f>
        <v>Valid</v>
      </c>
      <c r="L219" t="str">
        <f>IF((COUNTIFS(data_tab[Revenue],data_tab[[#This Row],[Revenue]],data_tab[Cost],data_tab[[#This Row],[Cost]]))&gt;1,"Duplicate","Unique")</f>
        <v>Unique</v>
      </c>
      <c r="M219">
        <f>data_tab[[#This Row],[Revenue]]-data_tab[[#This Row],[Cost]]</f>
        <v>54208.651203997098</v>
      </c>
      <c r="N219" t="str">
        <f>IF(data_tab[[#This Row],[Revenue]]&lt;0,"Return","Sale")</f>
        <v>Sale</v>
      </c>
    </row>
    <row r="220" spans="1:14">
      <c r="A220" s="1">
        <v>46154</v>
      </c>
      <c r="B220">
        <f>MONTH(data_tab[[#This Row],[Order Date]])</f>
        <v>5</v>
      </c>
      <c r="C220">
        <f>YEAR(data_tab[[#This Row],[Order Date]])</f>
        <v>2026</v>
      </c>
      <c r="D220" t="s">
        <v>35</v>
      </c>
      <c r="E220" t="s">
        <v>32</v>
      </c>
      <c r="F220" t="s">
        <v>24</v>
      </c>
      <c r="G220" t="s">
        <v>26</v>
      </c>
      <c r="H220">
        <v>10</v>
      </c>
      <c r="J220">
        <v>196668.79408574101</v>
      </c>
      <c r="K220" t="str">
        <f>IF(AND(data_tab[[#This Row],[Revenue]]="",data_tab[[#This Row],[Cost]]=""),"Remove",IF(OR(data_tab[[#This Row],[Revenue]]="",data_tab[[#This Row],[Cost]]=""),"Flag","Valid"))</f>
        <v>Flag</v>
      </c>
      <c r="L220" t="str">
        <f>IF((COUNTIFS(data_tab[Revenue],data_tab[[#This Row],[Revenue]],data_tab[Cost],data_tab[[#This Row],[Cost]]))&gt;1,"Duplicate","Unique")</f>
        <v>Unique</v>
      </c>
      <c r="M220">
        <f>data_tab[[#This Row],[Revenue]]-data_tab[[#This Row],[Cost]]</f>
        <v>-196668.79408574101</v>
      </c>
      <c r="N220" t="str">
        <f>IF(data_tab[[#This Row],[Revenue]]&lt;0,"Return","Sale")</f>
        <v>Sale</v>
      </c>
    </row>
    <row r="221" spans="1:14">
      <c r="A221" s="1">
        <v>46166</v>
      </c>
      <c r="B221">
        <f>MONTH(data_tab[[#This Row],[Order Date]])</f>
        <v>5</v>
      </c>
      <c r="C221">
        <f>YEAR(data_tab[[#This Row],[Order Date]])</f>
        <v>2026</v>
      </c>
      <c r="D221" t="s">
        <v>40</v>
      </c>
      <c r="E221" t="s">
        <v>15</v>
      </c>
      <c r="F221" t="s">
        <v>21</v>
      </c>
      <c r="G221" t="s">
        <v>41</v>
      </c>
      <c r="H221">
        <v>7</v>
      </c>
      <c r="I221">
        <v>91756</v>
      </c>
      <c r="J221">
        <v>50973.763379952099</v>
      </c>
      <c r="K221" t="str">
        <f>IF(AND(data_tab[[#This Row],[Revenue]]="",data_tab[[#This Row],[Cost]]=""),"Remove",IF(OR(data_tab[[#This Row],[Revenue]]="",data_tab[[#This Row],[Cost]]=""),"Flag","Valid"))</f>
        <v>Valid</v>
      </c>
      <c r="L221" t="str">
        <f>IF((COUNTIFS(data_tab[Revenue],data_tab[[#This Row],[Revenue]],data_tab[Cost],data_tab[[#This Row],[Cost]]))&gt;1,"Duplicate","Unique")</f>
        <v>Unique</v>
      </c>
      <c r="M221">
        <f>data_tab[[#This Row],[Revenue]]-data_tab[[#This Row],[Cost]]</f>
        <v>40782.236620047901</v>
      </c>
      <c r="N221" t="str">
        <f>IF(data_tab[[#This Row],[Revenue]]&lt;0,"Return","Sale")</f>
        <v>Sale</v>
      </c>
    </row>
    <row r="222" spans="1:14" hidden="1">
      <c r="A222" s="1">
        <v>46134</v>
      </c>
      <c r="B222">
        <f>MONTH(data_tab[[#This Row],[Order Date]])</f>
        <v>4</v>
      </c>
      <c r="C222">
        <f>YEAR(data_tab[[#This Row],[Order Date]])</f>
        <v>2026</v>
      </c>
      <c r="D222" t="s">
        <v>23</v>
      </c>
      <c r="E222" t="s">
        <v>15</v>
      </c>
      <c r="F222" t="s">
        <v>24</v>
      </c>
      <c r="G222" t="s">
        <v>37</v>
      </c>
      <c r="H222">
        <v>5</v>
      </c>
      <c r="I222">
        <v>90800</v>
      </c>
      <c r="J222">
        <v>71583.068113187095</v>
      </c>
      <c r="K222" t="str">
        <f>IF(AND(data_tab[[#This Row],[Revenue]]="",data_tab[[#This Row],[Cost]]=""),"Remove",IF(OR(data_tab[[#This Row],[Revenue]]="",data_tab[[#This Row],[Cost]]=""),"Flag","Valid"))</f>
        <v>Valid</v>
      </c>
      <c r="L222" t="str">
        <f>IF((COUNTIFS(data_tab[Revenue],data_tab[[#This Row],[Revenue]],data_tab[Cost],data_tab[[#This Row],[Cost]]))&gt;1,"Duplicate","Unique")</f>
        <v>Unique</v>
      </c>
      <c r="M222">
        <f>data_tab[[#This Row],[Revenue]]-data_tab[[#This Row],[Cost]]</f>
        <v>19216.931886812905</v>
      </c>
      <c r="N222" t="str">
        <f>IF(data_tab[[#This Row],[Revenue]]&lt;0,"Return","Sale")</f>
        <v>Sale</v>
      </c>
    </row>
    <row r="223" spans="1:14" hidden="1">
      <c r="A223" s="1">
        <v>46057</v>
      </c>
      <c r="B223">
        <f>MONTH(data_tab[[#This Row],[Order Date]])</f>
        <v>2</v>
      </c>
      <c r="C223">
        <f>YEAR(data_tab[[#This Row],[Order Date]])</f>
        <v>2026</v>
      </c>
      <c r="D223" t="s">
        <v>35</v>
      </c>
      <c r="E223" t="s">
        <v>32</v>
      </c>
      <c r="F223" t="s">
        <v>36</v>
      </c>
      <c r="G223" t="s">
        <v>37</v>
      </c>
      <c r="H223">
        <v>8</v>
      </c>
      <c r="I223">
        <v>191496</v>
      </c>
      <c r="J223">
        <v>128732.513538599</v>
      </c>
      <c r="K223" t="str">
        <f>IF(AND(data_tab[[#This Row],[Revenue]]="",data_tab[[#This Row],[Cost]]=""),"Remove",IF(OR(data_tab[[#This Row],[Revenue]]="",data_tab[[#This Row],[Cost]]=""),"Flag","Valid"))</f>
        <v>Valid</v>
      </c>
      <c r="L223" t="str">
        <f>IF((COUNTIFS(data_tab[Revenue],data_tab[[#This Row],[Revenue]],data_tab[Cost],data_tab[[#This Row],[Cost]]))&gt;1,"Duplicate","Unique")</f>
        <v>Unique</v>
      </c>
      <c r="M223">
        <f>data_tab[[#This Row],[Revenue]]-data_tab[[#This Row],[Cost]]</f>
        <v>62763.486461401</v>
      </c>
      <c r="N223" t="str">
        <f>IF(data_tab[[#This Row],[Revenue]]&lt;0,"Return","Sale")</f>
        <v>Sale</v>
      </c>
    </row>
    <row r="224" spans="1:14" hidden="1">
      <c r="A224" s="1">
        <v>46099</v>
      </c>
      <c r="B224">
        <f>MONTH(data_tab[[#This Row],[Order Date]])</f>
        <v>3</v>
      </c>
      <c r="C224">
        <f>YEAR(data_tab[[#This Row],[Order Date]])</f>
        <v>2026</v>
      </c>
      <c r="D224" t="s">
        <v>31</v>
      </c>
      <c r="E224" t="s">
        <v>32</v>
      </c>
      <c r="F224" t="s">
        <v>36</v>
      </c>
      <c r="G224" t="s">
        <v>37</v>
      </c>
      <c r="H224">
        <v>3</v>
      </c>
      <c r="I224">
        <v>84297</v>
      </c>
      <c r="J224">
        <v>74812.752007032395</v>
      </c>
      <c r="K224" t="str">
        <f>IF(AND(data_tab[[#This Row],[Revenue]]="",data_tab[[#This Row],[Cost]]=""),"Remove",IF(OR(data_tab[[#This Row],[Revenue]]="",data_tab[[#This Row],[Cost]]=""),"Flag","Valid"))</f>
        <v>Valid</v>
      </c>
      <c r="L224" t="str">
        <f>IF((COUNTIFS(data_tab[Revenue],data_tab[[#This Row],[Revenue]],data_tab[Cost],data_tab[[#This Row],[Cost]]))&gt;1,"Duplicate","Unique")</f>
        <v>Unique</v>
      </c>
      <c r="M224">
        <f>data_tab[[#This Row],[Revenue]]-data_tab[[#This Row],[Cost]]</f>
        <v>9484.2479929676047</v>
      </c>
      <c r="N224" t="str">
        <f>IF(data_tab[[#This Row],[Revenue]]&lt;0,"Return","Sale")</f>
        <v>Sale</v>
      </c>
    </row>
    <row r="225" spans="1:14">
      <c r="A225" s="1">
        <v>46170</v>
      </c>
      <c r="B225">
        <f>MONTH(data_tab[[#This Row],[Order Date]])</f>
        <v>5</v>
      </c>
      <c r="C225">
        <f>YEAR(data_tab[[#This Row],[Order Date]])</f>
        <v>2026</v>
      </c>
      <c r="D225" t="s">
        <v>35</v>
      </c>
      <c r="E225" t="s">
        <v>32</v>
      </c>
      <c r="F225" t="s">
        <v>36</v>
      </c>
      <c r="G225" t="s">
        <v>37</v>
      </c>
      <c r="H225">
        <v>2</v>
      </c>
      <c r="I225">
        <v>77904</v>
      </c>
      <c r="J225">
        <v>45178.089197900401</v>
      </c>
      <c r="K225" t="str">
        <f>IF(AND(data_tab[[#This Row],[Revenue]]="",data_tab[[#This Row],[Cost]]=""),"Remove",IF(OR(data_tab[[#This Row],[Revenue]]="",data_tab[[#This Row],[Cost]]=""),"Flag","Valid"))</f>
        <v>Valid</v>
      </c>
      <c r="L225" t="str">
        <f>IF((COUNTIFS(data_tab[Revenue],data_tab[[#This Row],[Revenue]],data_tab[Cost],data_tab[[#This Row],[Cost]]))&gt;1,"Duplicate","Unique")</f>
        <v>Unique</v>
      </c>
      <c r="M225">
        <f>data_tab[[#This Row],[Revenue]]-data_tab[[#This Row],[Cost]]</f>
        <v>32725.910802099599</v>
      </c>
      <c r="N225" t="str">
        <f>IF(data_tab[[#This Row],[Revenue]]&lt;0,"Return","Sale")</f>
        <v>Sale</v>
      </c>
    </row>
    <row r="226" spans="1:14" hidden="1">
      <c r="A226" s="1">
        <v>46029</v>
      </c>
      <c r="B226">
        <f>MONTH(data_tab[[#This Row],[Order Date]])</f>
        <v>1</v>
      </c>
      <c r="C226">
        <f>YEAR(data_tab[[#This Row],[Order Date]])</f>
        <v>2026</v>
      </c>
      <c r="D226" t="s">
        <v>14</v>
      </c>
      <c r="E226" t="s">
        <v>15</v>
      </c>
      <c r="F226" t="s">
        <v>21</v>
      </c>
      <c r="G226" t="s">
        <v>33</v>
      </c>
      <c r="H226">
        <v>5</v>
      </c>
      <c r="I226">
        <v>237025</v>
      </c>
      <c r="J226">
        <v>125069.433686406</v>
      </c>
      <c r="K226" t="str">
        <f>IF(AND(data_tab[[#This Row],[Revenue]]="",data_tab[[#This Row],[Cost]]=""),"Remove",IF(OR(data_tab[[#This Row],[Revenue]]="",data_tab[[#This Row],[Cost]]=""),"Flag","Valid"))</f>
        <v>Valid</v>
      </c>
      <c r="L226" t="str">
        <f>IF((COUNTIFS(data_tab[Revenue],data_tab[[#This Row],[Revenue]],data_tab[Cost],data_tab[[#This Row],[Cost]]))&gt;1,"Duplicate","Unique")</f>
        <v>Unique</v>
      </c>
      <c r="M226">
        <f>data_tab[[#This Row],[Revenue]]-data_tab[[#This Row],[Cost]]</f>
        <v>111955.566313594</v>
      </c>
      <c r="N226" t="str">
        <f>IF(data_tab[[#This Row],[Revenue]]&lt;0,"Return","Sale")</f>
        <v>Sale</v>
      </c>
    </row>
    <row r="227" spans="1:14" hidden="1">
      <c r="A227" s="1">
        <v>46058</v>
      </c>
      <c r="B227">
        <f>MONTH(data_tab[[#This Row],[Order Date]])</f>
        <v>2</v>
      </c>
      <c r="C227">
        <f>YEAR(data_tab[[#This Row],[Order Date]])</f>
        <v>2026</v>
      </c>
      <c r="D227" t="s">
        <v>14</v>
      </c>
      <c r="E227" t="s">
        <v>15</v>
      </c>
      <c r="F227" t="s">
        <v>21</v>
      </c>
      <c r="G227" t="s">
        <v>41</v>
      </c>
      <c r="H227">
        <v>7</v>
      </c>
      <c r="I227">
        <v>186942</v>
      </c>
      <c r="J227">
        <v>99001.876150409604</v>
      </c>
      <c r="K227" t="str">
        <f>IF(AND(data_tab[[#This Row],[Revenue]]="",data_tab[[#This Row],[Cost]]=""),"Remove",IF(OR(data_tab[[#This Row],[Revenue]]="",data_tab[[#This Row],[Cost]]=""),"Flag","Valid"))</f>
        <v>Valid</v>
      </c>
      <c r="L227" t="str">
        <f>IF((COUNTIFS(data_tab[Revenue],data_tab[[#This Row],[Revenue]],data_tab[Cost],data_tab[[#This Row],[Cost]]))&gt;1,"Duplicate","Unique")</f>
        <v>Unique</v>
      </c>
      <c r="M227">
        <f>data_tab[[#This Row],[Revenue]]-data_tab[[#This Row],[Cost]]</f>
        <v>87940.123849590396</v>
      </c>
      <c r="N227" t="str">
        <f>IF(data_tab[[#This Row],[Revenue]]&lt;0,"Return","Sale")</f>
        <v>Sale</v>
      </c>
    </row>
    <row r="228" spans="1:14">
      <c r="A228" s="1">
        <v>46152</v>
      </c>
      <c r="B228">
        <f>MONTH(data_tab[[#This Row],[Order Date]])</f>
        <v>5</v>
      </c>
      <c r="C228">
        <f>YEAR(data_tab[[#This Row],[Order Date]])</f>
        <v>2026</v>
      </c>
      <c r="D228" t="s">
        <v>29</v>
      </c>
      <c r="E228" t="s">
        <v>15</v>
      </c>
      <c r="F228" t="s">
        <v>24</v>
      </c>
      <c r="G228" t="s">
        <v>37</v>
      </c>
      <c r="H228">
        <v>9</v>
      </c>
      <c r="I228">
        <v>368244</v>
      </c>
      <c r="J228">
        <v>278124.43642781599</v>
      </c>
      <c r="K228" t="str">
        <f>IF(AND(data_tab[[#This Row],[Revenue]]="",data_tab[[#This Row],[Cost]]=""),"Remove",IF(OR(data_tab[[#This Row],[Revenue]]="",data_tab[[#This Row],[Cost]]=""),"Flag","Valid"))</f>
        <v>Valid</v>
      </c>
      <c r="L228" t="str">
        <f>IF((COUNTIFS(data_tab[Revenue],data_tab[[#This Row],[Revenue]],data_tab[Cost],data_tab[[#This Row],[Cost]]))&gt;1,"Duplicate","Unique")</f>
        <v>Unique</v>
      </c>
      <c r="M228">
        <f>data_tab[[#This Row],[Revenue]]-data_tab[[#This Row],[Cost]]</f>
        <v>90119.563572184008</v>
      </c>
      <c r="N228" t="str">
        <f>IF(data_tab[[#This Row],[Revenue]]&lt;0,"Return","Sale")</f>
        <v>Sale</v>
      </c>
    </row>
    <row r="229" spans="1:14" hidden="1">
      <c r="A229" s="1">
        <v>46026</v>
      </c>
      <c r="B229">
        <f>MONTH(data_tab[[#This Row],[Order Date]])</f>
        <v>1</v>
      </c>
      <c r="C229">
        <f>YEAR(data_tab[[#This Row],[Order Date]])</f>
        <v>2026</v>
      </c>
      <c r="D229" t="s">
        <v>40</v>
      </c>
      <c r="E229" t="s">
        <v>15</v>
      </c>
      <c r="F229" t="s">
        <v>24</v>
      </c>
      <c r="G229" t="s">
        <v>26</v>
      </c>
      <c r="H229">
        <v>7</v>
      </c>
      <c r="I229">
        <v>166117</v>
      </c>
      <c r="K229" t="str">
        <f>IF(AND(data_tab[[#This Row],[Revenue]]="",data_tab[[#This Row],[Cost]]=""),"Remove",IF(OR(data_tab[[#This Row],[Revenue]]="",data_tab[[#This Row],[Cost]]=""),"Flag","Valid"))</f>
        <v>Flag</v>
      </c>
      <c r="L229" t="str">
        <f>IF((COUNTIFS(data_tab[Revenue],data_tab[[#This Row],[Revenue]],data_tab[Cost],data_tab[[#This Row],[Cost]]))&gt;1,"Duplicate","Unique")</f>
        <v>Unique</v>
      </c>
      <c r="M229">
        <f>data_tab[[#This Row],[Revenue]]-data_tab[[#This Row],[Cost]]</f>
        <v>166117</v>
      </c>
      <c r="N229" t="str">
        <f>IF(data_tab[[#This Row],[Revenue]]&lt;0,"Return","Sale")</f>
        <v>Sale</v>
      </c>
    </row>
    <row r="230" spans="1:14">
      <c r="A230" s="1">
        <v>46153</v>
      </c>
      <c r="B230">
        <f>MONTH(data_tab[[#This Row],[Order Date]])</f>
        <v>5</v>
      </c>
      <c r="C230">
        <f>YEAR(data_tab[[#This Row],[Order Date]])</f>
        <v>2026</v>
      </c>
      <c r="D230" t="s">
        <v>14</v>
      </c>
      <c r="E230" t="s">
        <v>15</v>
      </c>
      <c r="F230" t="s">
        <v>21</v>
      </c>
      <c r="G230" t="s">
        <v>33</v>
      </c>
      <c r="H230">
        <v>6</v>
      </c>
      <c r="I230">
        <v>165798</v>
      </c>
      <c r="J230">
        <v>113608.98154065201</v>
      </c>
      <c r="K230" t="str">
        <f>IF(AND(data_tab[[#This Row],[Revenue]]="",data_tab[[#This Row],[Cost]]=""),"Remove",IF(OR(data_tab[[#This Row],[Revenue]]="",data_tab[[#This Row],[Cost]]=""),"Flag","Valid"))</f>
        <v>Valid</v>
      </c>
      <c r="L230" t="str">
        <f>IF((COUNTIFS(data_tab[Revenue],data_tab[[#This Row],[Revenue]],data_tab[Cost],data_tab[[#This Row],[Cost]]))&gt;1,"Duplicate","Unique")</f>
        <v>Unique</v>
      </c>
      <c r="M230">
        <f>data_tab[[#This Row],[Revenue]]-data_tab[[#This Row],[Cost]]</f>
        <v>52189.018459347993</v>
      </c>
      <c r="N230" t="str">
        <f>IF(data_tab[[#This Row],[Revenue]]&lt;0,"Return","Sale")</f>
        <v>Sale</v>
      </c>
    </row>
    <row r="231" spans="1:14" hidden="1">
      <c r="A231" s="1">
        <v>46029</v>
      </c>
      <c r="B231">
        <f>MONTH(data_tab[[#This Row],[Order Date]])</f>
        <v>1</v>
      </c>
      <c r="C231">
        <f>YEAR(data_tab[[#This Row],[Order Date]])</f>
        <v>2026</v>
      </c>
      <c r="D231" t="s">
        <v>20</v>
      </c>
      <c r="E231" t="s">
        <v>15</v>
      </c>
      <c r="F231" t="s">
        <v>24</v>
      </c>
      <c r="G231" t="s">
        <v>41</v>
      </c>
      <c r="H231">
        <v>3</v>
      </c>
      <c r="I231">
        <v>74484</v>
      </c>
      <c r="J231">
        <v>46534.336149945702</v>
      </c>
      <c r="K231" t="str">
        <f>IF(AND(data_tab[[#This Row],[Revenue]]="",data_tab[[#This Row],[Cost]]=""),"Remove",IF(OR(data_tab[[#This Row],[Revenue]]="",data_tab[[#This Row],[Cost]]=""),"Flag","Valid"))</f>
        <v>Valid</v>
      </c>
      <c r="L231" t="str">
        <f>IF((COUNTIFS(data_tab[Revenue],data_tab[[#This Row],[Revenue]],data_tab[Cost],data_tab[[#This Row],[Cost]]))&gt;1,"Duplicate","Unique")</f>
        <v>Unique</v>
      </c>
      <c r="M231">
        <f>data_tab[[#This Row],[Revenue]]-data_tab[[#This Row],[Cost]]</f>
        <v>27949.663850054298</v>
      </c>
      <c r="N231" t="str">
        <f>IF(data_tab[[#This Row],[Revenue]]&lt;0,"Return","Sale")</f>
        <v>Sale</v>
      </c>
    </row>
    <row r="232" spans="1:14" hidden="1">
      <c r="A232" s="1">
        <v>46058</v>
      </c>
      <c r="B232">
        <f>MONTH(data_tab[[#This Row],[Order Date]])</f>
        <v>2</v>
      </c>
      <c r="C232">
        <f>YEAR(data_tab[[#This Row],[Order Date]])</f>
        <v>2026</v>
      </c>
      <c r="D232" t="s">
        <v>14</v>
      </c>
      <c r="E232" t="s">
        <v>15</v>
      </c>
      <c r="F232" t="s">
        <v>36</v>
      </c>
      <c r="G232" t="s">
        <v>37</v>
      </c>
      <c r="H232">
        <v>2</v>
      </c>
      <c r="I232">
        <v>43356</v>
      </c>
      <c r="K232" t="str">
        <f>IF(AND(data_tab[[#This Row],[Revenue]]="",data_tab[[#This Row],[Cost]]=""),"Remove",IF(OR(data_tab[[#This Row],[Revenue]]="",data_tab[[#This Row],[Cost]]=""),"Flag","Valid"))</f>
        <v>Flag</v>
      </c>
      <c r="L232" t="str">
        <f>IF((COUNTIFS(data_tab[Revenue],data_tab[[#This Row],[Revenue]],data_tab[Cost],data_tab[[#This Row],[Cost]]))&gt;1,"Duplicate","Unique")</f>
        <v>Unique</v>
      </c>
      <c r="M232">
        <f>data_tab[[#This Row],[Revenue]]-data_tab[[#This Row],[Cost]]</f>
        <v>43356</v>
      </c>
      <c r="N232" t="str">
        <f>IF(data_tab[[#This Row],[Revenue]]&lt;0,"Return","Sale")</f>
        <v>Sale</v>
      </c>
    </row>
    <row r="233" spans="1:14" hidden="1">
      <c r="A233" s="1">
        <v>46050</v>
      </c>
      <c r="B233">
        <f>MONTH(data_tab[[#This Row],[Order Date]])</f>
        <v>1</v>
      </c>
      <c r="C233">
        <f>YEAR(data_tab[[#This Row],[Order Date]])</f>
        <v>2026</v>
      </c>
      <c r="D233" t="s">
        <v>14</v>
      </c>
      <c r="E233" t="s">
        <v>15</v>
      </c>
      <c r="F233" t="s">
        <v>21</v>
      </c>
      <c r="G233" t="s">
        <v>26</v>
      </c>
      <c r="H233">
        <v>3</v>
      </c>
      <c r="I233">
        <v>114507</v>
      </c>
      <c r="J233">
        <v>64588.163953654803</v>
      </c>
      <c r="K233" t="str">
        <f>IF(AND(data_tab[[#This Row],[Revenue]]="",data_tab[[#This Row],[Cost]]=""),"Remove",IF(OR(data_tab[[#This Row],[Revenue]]="",data_tab[[#This Row],[Cost]]=""),"Flag","Valid"))</f>
        <v>Valid</v>
      </c>
      <c r="L233" t="str">
        <f>IF((COUNTIFS(data_tab[Revenue],data_tab[[#This Row],[Revenue]],data_tab[Cost],data_tab[[#This Row],[Cost]]))&gt;1,"Duplicate","Unique")</f>
        <v>Unique</v>
      </c>
      <c r="M233">
        <f>data_tab[[#This Row],[Revenue]]-data_tab[[#This Row],[Cost]]</f>
        <v>49918.836046345197</v>
      </c>
      <c r="N233" t="str">
        <f>IF(data_tab[[#This Row],[Revenue]]&lt;0,"Return","Sale")</f>
        <v>Sale</v>
      </c>
    </row>
    <row r="234" spans="1:14" hidden="1">
      <c r="A234" s="1">
        <v>46126</v>
      </c>
      <c r="B234">
        <f>MONTH(data_tab[[#This Row],[Order Date]])</f>
        <v>4</v>
      </c>
      <c r="C234">
        <f>YEAR(data_tab[[#This Row],[Order Date]])</f>
        <v>2026</v>
      </c>
      <c r="D234" t="s">
        <v>14</v>
      </c>
      <c r="E234" t="s">
        <v>15</v>
      </c>
      <c r="F234" t="s">
        <v>36</v>
      </c>
      <c r="G234" t="s">
        <v>33</v>
      </c>
      <c r="H234">
        <v>1</v>
      </c>
      <c r="I234">
        <v>-42246</v>
      </c>
      <c r="J234">
        <v>36045.932671887102</v>
      </c>
      <c r="K234" t="str">
        <f>IF(AND(data_tab[[#This Row],[Revenue]]="",data_tab[[#This Row],[Cost]]=""),"Remove",IF(OR(data_tab[[#This Row],[Revenue]]="",data_tab[[#This Row],[Cost]]=""),"Flag","Valid"))</f>
        <v>Valid</v>
      </c>
      <c r="L234" t="str">
        <f>IF((COUNTIFS(data_tab[Revenue],data_tab[[#This Row],[Revenue]],data_tab[Cost],data_tab[[#This Row],[Cost]]))&gt;1,"Duplicate","Unique")</f>
        <v>Unique</v>
      </c>
      <c r="M234">
        <f>data_tab[[#This Row],[Revenue]]-data_tab[[#This Row],[Cost]]</f>
        <v>-78291.932671887102</v>
      </c>
      <c r="N234" t="str">
        <f>IF(data_tab[[#This Row],[Revenue]]&lt;0,"Return","Sale")</f>
        <v>Return</v>
      </c>
    </row>
    <row r="235" spans="1:14" hidden="1">
      <c r="A235" s="1">
        <v>46077</v>
      </c>
      <c r="B235">
        <f>MONTH(data_tab[[#This Row],[Order Date]])</f>
        <v>2</v>
      </c>
      <c r="C235">
        <f>YEAR(data_tab[[#This Row],[Order Date]])</f>
        <v>2026</v>
      </c>
      <c r="D235" t="s">
        <v>23</v>
      </c>
      <c r="E235" t="s">
        <v>15</v>
      </c>
      <c r="F235" t="s">
        <v>24</v>
      </c>
      <c r="G235" t="s">
        <v>26</v>
      </c>
      <c r="H235">
        <v>2</v>
      </c>
      <c r="I235">
        <v>74370</v>
      </c>
      <c r="J235">
        <v>42746.681190383497</v>
      </c>
      <c r="K235" t="str">
        <f>IF(AND(data_tab[[#This Row],[Revenue]]="",data_tab[[#This Row],[Cost]]=""),"Remove",IF(OR(data_tab[[#This Row],[Revenue]]="",data_tab[[#This Row],[Cost]]=""),"Flag","Valid"))</f>
        <v>Valid</v>
      </c>
      <c r="L235" t="str">
        <f>IF((COUNTIFS(data_tab[Revenue],data_tab[[#This Row],[Revenue]],data_tab[Cost],data_tab[[#This Row],[Cost]]))&gt;1,"Duplicate","Unique")</f>
        <v>Unique</v>
      </c>
      <c r="M235">
        <f>data_tab[[#This Row],[Revenue]]-data_tab[[#This Row],[Cost]]</f>
        <v>31623.318809616503</v>
      </c>
      <c r="N235" t="str">
        <f>IF(data_tab[[#This Row],[Revenue]]&lt;0,"Return","Sale")</f>
        <v>Sale</v>
      </c>
    </row>
    <row r="236" spans="1:14">
      <c r="A236" s="1">
        <v>46148</v>
      </c>
      <c r="B236">
        <f>MONTH(data_tab[[#This Row],[Order Date]])</f>
        <v>5</v>
      </c>
      <c r="C236">
        <f>YEAR(data_tab[[#This Row],[Order Date]])</f>
        <v>2026</v>
      </c>
      <c r="D236" t="s">
        <v>40</v>
      </c>
      <c r="E236" t="s">
        <v>15</v>
      </c>
      <c r="F236" t="s">
        <v>36</v>
      </c>
      <c r="G236" t="s">
        <v>26</v>
      </c>
      <c r="H236">
        <v>7</v>
      </c>
      <c r="I236">
        <v>283283</v>
      </c>
      <c r="J236">
        <v>154585.50177236801</v>
      </c>
      <c r="K236" t="str">
        <f>IF(AND(data_tab[[#This Row],[Revenue]]="",data_tab[[#This Row],[Cost]]=""),"Remove",IF(OR(data_tab[[#This Row],[Revenue]]="",data_tab[[#This Row],[Cost]]=""),"Flag","Valid"))</f>
        <v>Valid</v>
      </c>
      <c r="L236" t="str">
        <f>IF((COUNTIFS(data_tab[Revenue],data_tab[[#This Row],[Revenue]],data_tab[Cost],data_tab[[#This Row],[Cost]]))&gt;1,"Duplicate","Unique")</f>
        <v>Unique</v>
      </c>
      <c r="M236">
        <f>data_tab[[#This Row],[Revenue]]-data_tab[[#This Row],[Cost]]</f>
        <v>128697.49822763199</v>
      </c>
      <c r="N236" t="str">
        <f>IF(data_tab[[#This Row],[Revenue]]&lt;0,"Return","Sale")</f>
        <v>Sale</v>
      </c>
    </row>
    <row r="237" spans="1:14" hidden="1">
      <c r="A237" s="1">
        <v>46195</v>
      </c>
      <c r="B237">
        <f>MONTH(data_tab[[#This Row],[Order Date]])</f>
        <v>6</v>
      </c>
      <c r="C237">
        <f>YEAR(data_tab[[#This Row],[Order Date]])</f>
        <v>2026</v>
      </c>
      <c r="D237" t="s">
        <v>40</v>
      </c>
      <c r="E237" t="s">
        <v>15</v>
      </c>
      <c r="F237" t="s">
        <v>24</v>
      </c>
      <c r="G237" t="s">
        <v>41</v>
      </c>
      <c r="H237">
        <v>3</v>
      </c>
      <c r="I237">
        <v>67572</v>
      </c>
      <c r="J237">
        <v>36971.659037461301</v>
      </c>
      <c r="K237" t="str">
        <f>IF(AND(data_tab[[#This Row],[Revenue]]="",data_tab[[#This Row],[Cost]]=""),"Remove",IF(OR(data_tab[[#This Row],[Revenue]]="",data_tab[[#This Row],[Cost]]=""),"Flag","Valid"))</f>
        <v>Valid</v>
      </c>
      <c r="L237" t="str">
        <f>IF((COUNTIFS(data_tab[Revenue],data_tab[[#This Row],[Revenue]],data_tab[Cost],data_tab[[#This Row],[Cost]]))&gt;1,"Duplicate","Unique")</f>
        <v>Duplicate</v>
      </c>
      <c r="M237">
        <f>data_tab[[#This Row],[Revenue]]-data_tab[[#This Row],[Cost]]</f>
        <v>30600.340962538699</v>
      </c>
      <c r="N237" t="str">
        <f>IF(data_tab[[#This Row],[Revenue]]&lt;0,"Return","Sale")</f>
        <v>Sale</v>
      </c>
    </row>
    <row r="238" spans="1:14">
      <c r="A238" s="1">
        <v>46153</v>
      </c>
      <c r="B238">
        <f>MONTH(data_tab[[#This Row],[Order Date]])</f>
        <v>5</v>
      </c>
      <c r="C238">
        <f>YEAR(data_tab[[#This Row],[Order Date]])</f>
        <v>2026</v>
      </c>
      <c r="D238" t="s">
        <v>40</v>
      </c>
      <c r="E238" t="s">
        <v>15</v>
      </c>
      <c r="F238" t="s">
        <v>36</v>
      </c>
      <c r="G238" t="s">
        <v>33</v>
      </c>
      <c r="H238">
        <v>3</v>
      </c>
      <c r="I238">
        <v>101682</v>
      </c>
      <c r="J238">
        <v>76688.631187122402</v>
      </c>
      <c r="K238" t="str">
        <f>IF(AND(data_tab[[#This Row],[Revenue]]="",data_tab[[#This Row],[Cost]]=""),"Remove",IF(OR(data_tab[[#This Row],[Revenue]]="",data_tab[[#This Row],[Cost]]=""),"Flag","Valid"))</f>
        <v>Valid</v>
      </c>
      <c r="L238" t="str">
        <f>IF((COUNTIFS(data_tab[Revenue],data_tab[[#This Row],[Revenue]],data_tab[Cost],data_tab[[#This Row],[Cost]]))&gt;1,"Duplicate","Unique")</f>
        <v>Unique</v>
      </c>
      <c r="M238">
        <f>data_tab[[#This Row],[Revenue]]-data_tab[[#This Row],[Cost]]</f>
        <v>24993.368812877598</v>
      </c>
      <c r="N238" t="str">
        <f>IF(data_tab[[#This Row],[Revenue]]&lt;0,"Return","Sale")</f>
        <v>Sale</v>
      </c>
    </row>
    <row r="239" spans="1:14">
      <c r="A239" s="1">
        <v>46165</v>
      </c>
      <c r="B239">
        <f>MONTH(data_tab[[#This Row],[Order Date]])</f>
        <v>5</v>
      </c>
      <c r="C239">
        <f>YEAR(data_tab[[#This Row],[Order Date]])</f>
        <v>2026</v>
      </c>
      <c r="D239" t="s">
        <v>35</v>
      </c>
      <c r="E239" t="s">
        <v>32</v>
      </c>
      <c r="F239" t="s">
        <v>21</v>
      </c>
      <c r="G239" t="s">
        <v>17</v>
      </c>
      <c r="H239">
        <v>6</v>
      </c>
      <c r="I239">
        <v>189336</v>
      </c>
      <c r="J239">
        <v>141578.64309761001</v>
      </c>
      <c r="K239" t="str">
        <f>IF(AND(data_tab[[#This Row],[Revenue]]="",data_tab[[#This Row],[Cost]]=""),"Remove",IF(OR(data_tab[[#This Row],[Revenue]]="",data_tab[[#This Row],[Cost]]=""),"Flag","Valid"))</f>
        <v>Valid</v>
      </c>
      <c r="L239" t="str">
        <f>IF((COUNTIFS(data_tab[Revenue],data_tab[[#This Row],[Revenue]],data_tab[Cost],data_tab[[#This Row],[Cost]]))&gt;1,"Duplicate","Unique")</f>
        <v>Unique</v>
      </c>
      <c r="M239">
        <f>data_tab[[#This Row],[Revenue]]-data_tab[[#This Row],[Cost]]</f>
        <v>47757.356902389991</v>
      </c>
      <c r="N239" t="str">
        <f>IF(data_tab[[#This Row],[Revenue]]&lt;0,"Return","Sale")</f>
        <v>Sale</v>
      </c>
    </row>
    <row r="240" spans="1:14" hidden="1">
      <c r="A240" s="1">
        <v>46072</v>
      </c>
      <c r="B240">
        <f>MONTH(data_tab[[#This Row],[Order Date]])</f>
        <v>2</v>
      </c>
      <c r="C240">
        <f>YEAR(data_tab[[#This Row],[Order Date]])</f>
        <v>2026</v>
      </c>
      <c r="D240" t="s">
        <v>40</v>
      </c>
      <c r="E240" t="s">
        <v>15</v>
      </c>
      <c r="F240" t="s">
        <v>36</v>
      </c>
      <c r="G240" t="s">
        <v>33</v>
      </c>
      <c r="H240">
        <v>8</v>
      </c>
      <c r="I240">
        <v>233904</v>
      </c>
      <c r="J240">
        <v>183394.056631249</v>
      </c>
      <c r="K240" t="str">
        <f>IF(AND(data_tab[[#This Row],[Revenue]]="",data_tab[[#This Row],[Cost]]=""),"Remove",IF(OR(data_tab[[#This Row],[Revenue]]="",data_tab[[#This Row],[Cost]]=""),"Flag","Valid"))</f>
        <v>Valid</v>
      </c>
      <c r="L240" t="str">
        <f>IF((COUNTIFS(data_tab[Revenue],data_tab[[#This Row],[Revenue]],data_tab[Cost],data_tab[[#This Row],[Cost]]))&gt;1,"Duplicate","Unique")</f>
        <v>Unique</v>
      </c>
      <c r="M240">
        <f>data_tab[[#This Row],[Revenue]]-data_tab[[#This Row],[Cost]]</f>
        <v>50509.943368751003</v>
      </c>
      <c r="N240" t="str">
        <f>IF(data_tab[[#This Row],[Revenue]]&lt;0,"Return","Sale")</f>
        <v>Sale</v>
      </c>
    </row>
    <row r="241" spans="1:14" hidden="1">
      <c r="A241" s="1">
        <v>46079</v>
      </c>
      <c r="B241">
        <f>MONTH(data_tab[[#This Row],[Order Date]])</f>
        <v>2</v>
      </c>
      <c r="C241">
        <f>YEAR(data_tab[[#This Row],[Order Date]])</f>
        <v>2026</v>
      </c>
      <c r="D241" t="s">
        <v>40</v>
      </c>
      <c r="E241" t="s">
        <v>15</v>
      </c>
      <c r="F241" t="s">
        <v>16</v>
      </c>
      <c r="G241" t="s">
        <v>17</v>
      </c>
      <c r="H241">
        <v>8</v>
      </c>
      <c r="I241">
        <v>312560</v>
      </c>
      <c r="J241">
        <v>249112.601929269</v>
      </c>
      <c r="K241" t="str">
        <f>IF(AND(data_tab[[#This Row],[Revenue]]="",data_tab[[#This Row],[Cost]]=""),"Remove",IF(OR(data_tab[[#This Row],[Revenue]]="",data_tab[[#This Row],[Cost]]=""),"Flag","Valid"))</f>
        <v>Valid</v>
      </c>
      <c r="L241" t="str">
        <f>IF((COUNTIFS(data_tab[Revenue],data_tab[[#This Row],[Revenue]],data_tab[Cost],data_tab[[#This Row],[Cost]]))&gt;1,"Duplicate","Unique")</f>
        <v>Unique</v>
      </c>
      <c r="M241">
        <f>data_tab[[#This Row],[Revenue]]-data_tab[[#This Row],[Cost]]</f>
        <v>63447.398070730997</v>
      </c>
      <c r="N241" t="str">
        <f>IF(data_tab[[#This Row],[Revenue]]&lt;0,"Return","Sale")</f>
        <v>Sale</v>
      </c>
    </row>
    <row r="242" spans="1:14" hidden="1">
      <c r="A242" s="1">
        <v>46052</v>
      </c>
      <c r="B242">
        <f>MONTH(data_tab[[#This Row],[Order Date]])</f>
        <v>1</v>
      </c>
      <c r="C242">
        <f>YEAR(data_tab[[#This Row],[Order Date]])</f>
        <v>2026</v>
      </c>
      <c r="D242" t="s">
        <v>35</v>
      </c>
      <c r="E242" t="s">
        <v>32</v>
      </c>
      <c r="F242" t="s">
        <v>24</v>
      </c>
      <c r="G242" t="s">
        <v>41</v>
      </c>
      <c r="H242">
        <v>8</v>
      </c>
      <c r="I242">
        <v>302440</v>
      </c>
      <c r="J242">
        <v>177658.32912977799</v>
      </c>
      <c r="K242" t="str">
        <f>IF(AND(data_tab[[#This Row],[Revenue]]="",data_tab[[#This Row],[Cost]]=""),"Remove",IF(OR(data_tab[[#This Row],[Revenue]]="",data_tab[[#This Row],[Cost]]=""),"Flag","Valid"))</f>
        <v>Valid</v>
      </c>
      <c r="L242" t="str">
        <f>IF((COUNTIFS(data_tab[Revenue],data_tab[[#This Row],[Revenue]],data_tab[Cost],data_tab[[#This Row],[Cost]]))&gt;1,"Duplicate","Unique")</f>
        <v>Unique</v>
      </c>
      <c r="M242">
        <f>data_tab[[#This Row],[Revenue]]-data_tab[[#This Row],[Cost]]</f>
        <v>124781.67087022201</v>
      </c>
      <c r="N242" t="str">
        <f>IF(data_tab[[#This Row],[Revenue]]&lt;0,"Return","Sale")</f>
        <v>Sale</v>
      </c>
    </row>
    <row r="243" spans="1:14" hidden="1">
      <c r="A243" s="1">
        <v>46086</v>
      </c>
      <c r="B243">
        <f>MONTH(data_tab[[#This Row],[Order Date]])</f>
        <v>3</v>
      </c>
      <c r="C243">
        <f>YEAR(data_tab[[#This Row],[Order Date]])</f>
        <v>2026</v>
      </c>
      <c r="D243" t="s">
        <v>29</v>
      </c>
      <c r="E243" t="s">
        <v>15</v>
      </c>
      <c r="F243" t="s">
        <v>16</v>
      </c>
      <c r="G243" t="s">
        <v>37</v>
      </c>
      <c r="H243">
        <v>2</v>
      </c>
      <c r="I243">
        <v>61548</v>
      </c>
      <c r="J243">
        <v>52076.759148288002</v>
      </c>
      <c r="K243" t="str">
        <f>IF(AND(data_tab[[#This Row],[Revenue]]="",data_tab[[#This Row],[Cost]]=""),"Remove",IF(OR(data_tab[[#This Row],[Revenue]]="",data_tab[[#This Row],[Cost]]=""),"Flag","Valid"))</f>
        <v>Valid</v>
      </c>
      <c r="L243" t="str">
        <f>IF((COUNTIFS(data_tab[Revenue],data_tab[[#This Row],[Revenue]],data_tab[Cost],data_tab[[#This Row],[Cost]]))&gt;1,"Duplicate","Unique")</f>
        <v>Unique</v>
      </c>
      <c r="M243">
        <f>data_tab[[#This Row],[Revenue]]-data_tab[[#This Row],[Cost]]</f>
        <v>9471.2408517119984</v>
      </c>
      <c r="N243" t="str">
        <f>IF(data_tab[[#This Row],[Revenue]]&lt;0,"Return","Sale")</f>
        <v>Sale</v>
      </c>
    </row>
    <row r="244" spans="1:14">
      <c r="A244" s="1">
        <v>46173</v>
      </c>
      <c r="B244">
        <f>MONTH(data_tab[[#This Row],[Order Date]])</f>
        <v>5</v>
      </c>
      <c r="C244">
        <f>YEAR(data_tab[[#This Row],[Order Date]])</f>
        <v>2026</v>
      </c>
      <c r="D244" t="s">
        <v>40</v>
      </c>
      <c r="E244" t="s">
        <v>15</v>
      </c>
      <c r="F244" t="s">
        <v>36</v>
      </c>
      <c r="G244" t="s">
        <v>17</v>
      </c>
      <c r="H244">
        <v>10</v>
      </c>
      <c r="I244">
        <v>111240</v>
      </c>
      <c r="J244">
        <v>90542.654896451102</v>
      </c>
      <c r="K244" t="str">
        <f>IF(AND(data_tab[[#This Row],[Revenue]]="",data_tab[[#This Row],[Cost]]=""),"Remove",IF(OR(data_tab[[#This Row],[Revenue]]="",data_tab[[#This Row],[Cost]]=""),"Flag","Valid"))</f>
        <v>Valid</v>
      </c>
      <c r="L244" t="str">
        <f>IF((COUNTIFS(data_tab[Revenue],data_tab[[#This Row],[Revenue]],data_tab[Cost],data_tab[[#This Row],[Cost]]))&gt;1,"Duplicate","Unique")</f>
        <v>Unique</v>
      </c>
      <c r="M244">
        <f>data_tab[[#This Row],[Revenue]]-data_tab[[#This Row],[Cost]]</f>
        <v>20697.345103548898</v>
      </c>
      <c r="N244" t="str">
        <f>IF(data_tab[[#This Row],[Revenue]]&lt;0,"Return","Sale")</f>
        <v>Sale</v>
      </c>
    </row>
    <row r="245" spans="1:14">
      <c r="A245" s="1">
        <v>46159</v>
      </c>
      <c r="B245">
        <f>MONTH(data_tab[[#This Row],[Order Date]])</f>
        <v>5</v>
      </c>
      <c r="C245">
        <f>YEAR(data_tab[[#This Row],[Order Date]])</f>
        <v>2026</v>
      </c>
      <c r="D245" t="s">
        <v>35</v>
      </c>
      <c r="E245" t="s">
        <v>32</v>
      </c>
      <c r="F245" t="s">
        <v>16</v>
      </c>
      <c r="G245" t="s">
        <v>37</v>
      </c>
      <c r="H245">
        <v>10</v>
      </c>
      <c r="I245">
        <v>195200</v>
      </c>
      <c r="J245">
        <v>171963.184731855</v>
      </c>
      <c r="K245" t="str">
        <f>IF(AND(data_tab[[#This Row],[Revenue]]="",data_tab[[#This Row],[Cost]]=""),"Remove",IF(OR(data_tab[[#This Row],[Revenue]]="",data_tab[[#This Row],[Cost]]=""),"Flag","Valid"))</f>
        <v>Valid</v>
      </c>
      <c r="L245" t="str">
        <f>IF((COUNTIFS(data_tab[Revenue],data_tab[[#This Row],[Revenue]],data_tab[Cost],data_tab[[#This Row],[Cost]]))&gt;1,"Duplicate","Unique")</f>
        <v>Unique</v>
      </c>
      <c r="M245">
        <f>data_tab[[#This Row],[Revenue]]-data_tab[[#This Row],[Cost]]</f>
        <v>23236.815268145001</v>
      </c>
      <c r="N245" t="str">
        <f>IF(data_tab[[#This Row],[Revenue]]&lt;0,"Return","Sale")</f>
        <v>Sale</v>
      </c>
    </row>
    <row r="246" spans="1:14" hidden="1">
      <c r="A246" s="1">
        <v>46057</v>
      </c>
      <c r="B246">
        <f>MONTH(data_tab[[#This Row],[Order Date]])</f>
        <v>2</v>
      </c>
      <c r="C246">
        <f>YEAR(data_tab[[#This Row],[Order Date]])</f>
        <v>2026</v>
      </c>
      <c r="D246" t="s">
        <v>20</v>
      </c>
      <c r="E246" t="s">
        <v>15</v>
      </c>
      <c r="F246" t="s">
        <v>16</v>
      </c>
      <c r="G246" t="s">
        <v>41</v>
      </c>
      <c r="H246">
        <v>3</v>
      </c>
      <c r="I246">
        <v>143904</v>
      </c>
      <c r="J246">
        <v>121804.881165762</v>
      </c>
      <c r="K246" t="str">
        <f>IF(AND(data_tab[[#This Row],[Revenue]]="",data_tab[[#This Row],[Cost]]=""),"Remove",IF(OR(data_tab[[#This Row],[Revenue]]="",data_tab[[#This Row],[Cost]]=""),"Flag","Valid"))</f>
        <v>Valid</v>
      </c>
      <c r="L246" t="str">
        <f>IF((COUNTIFS(data_tab[Revenue],data_tab[[#This Row],[Revenue]],data_tab[Cost],data_tab[[#This Row],[Cost]]))&gt;1,"Duplicate","Unique")</f>
        <v>Unique</v>
      </c>
      <c r="M246">
        <f>data_tab[[#This Row],[Revenue]]-data_tab[[#This Row],[Cost]]</f>
        <v>22099.118834238005</v>
      </c>
      <c r="N246" t="str">
        <f>IF(data_tab[[#This Row],[Revenue]]&lt;0,"Return","Sale")</f>
        <v>Sale</v>
      </c>
    </row>
    <row r="247" spans="1:14" hidden="1">
      <c r="A247" s="1">
        <v>46196</v>
      </c>
      <c r="B247">
        <f>MONTH(data_tab[[#This Row],[Order Date]])</f>
        <v>6</v>
      </c>
      <c r="C247">
        <f>YEAR(data_tab[[#This Row],[Order Date]])</f>
        <v>2026</v>
      </c>
      <c r="D247" t="s">
        <v>14</v>
      </c>
      <c r="E247" t="s">
        <v>15</v>
      </c>
      <c r="F247" t="s">
        <v>16</v>
      </c>
      <c r="G247" t="s">
        <v>41</v>
      </c>
      <c r="H247">
        <v>7</v>
      </c>
      <c r="I247">
        <v>186109</v>
      </c>
      <c r="J247">
        <v>126702.39099684999</v>
      </c>
      <c r="K247" t="str">
        <f>IF(AND(data_tab[[#This Row],[Revenue]]="",data_tab[[#This Row],[Cost]]=""),"Remove",IF(OR(data_tab[[#This Row],[Revenue]]="",data_tab[[#This Row],[Cost]]=""),"Flag","Valid"))</f>
        <v>Valid</v>
      </c>
      <c r="L247" t="str">
        <f>IF((COUNTIFS(data_tab[Revenue],data_tab[[#This Row],[Revenue]],data_tab[Cost],data_tab[[#This Row],[Cost]]))&gt;1,"Duplicate","Unique")</f>
        <v>Unique</v>
      </c>
      <c r="M247">
        <f>data_tab[[#This Row],[Revenue]]-data_tab[[#This Row],[Cost]]</f>
        <v>59406.609003150006</v>
      </c>
      <c r="N247" t="str">
        <f>IF(data_tab[[#This Row],[Revenue]]&lt;0,"Return","Sale")</f>
        <v>Sale</v>
      </c>
    </row>
    <row r="248" spans="1:14">
      <c r="A248" s="1">
        <v>46154</v>
      </c>
      <c r="B248">
        <f>MONTH(data_tab[[#This Row],[Order Date]])</f>
        <v>5</v>
      </c>
      <c r="C248">
        <f>YEAR(data_tab[[#This Row],[Order Date]])</f>
        <v>2026</v>
      </c>
      <c r="D248" t="s">
        <v>35</v>
      </c>
      <c r="E248" t="s">
        <v>32</v>
      </c>
      <c r="F248" t="s">
        <v>36</v>
      </c>
      <c r="G248" t="s">
        <v>33</v>
      </c>
      <c r="H248">
        <v>6</v>
      </c>
      <c r="I248">
        <v>240834</v>
      </c>
      <c r="J248">
        <v>120655.241194833</v>
      </c>
      <c r="K248" t="str">
        <f>IF(AND(data_tab[[#This Row],[Revenue]]="",data_tab[[#This Row],[Cost]]=""),"Remove",IF(OR(data_tab[[#This Row],[Revenue]]="",data_tab[[#This Row],[Cost]]=""),"Flag","Valid"))</f>
        <v>Valid</v>
      </c>
      <c r="L248" t="str">
        <f>IF((COUNTIFS(data_tab[Revenue],data_tab[[#This Row],[Revenue]],data_tab[Cost],data_tab[[#This Row],[Cost]]))&gt;1,"Duplicate","Unique")</f>
        <v>Unique</v>
      </c>
      <c r="M248">
        <f>data_tab[[#This Row],[Revenue]]-data_tab[[#This Row],[Cost]]</f>
        <v>120178.758805167</v>
      </c>
      <c r="N248" t="str">
        <f>IF(data_tab[[#This Row],[Revenue]]&lt;0,"Return","Sale")</f>
        <v>Sale</v>
      </c>
    </row>
    <row r="249" spans="1:14" hidden="1">
      <c r="A249" s="1">
        <v>46140</v>
      </c>
      <c r="B249">
        <f>MONTH(data_tab[[#This Row],[Order Date]])</f>
        <v>4</v>
      </c>
      <c r="C249">
        <f>YEAR(data_tab[[#This Row],[Order Date]])</f>
        <v>2026</v>
      </c>
      <c r="D249" t="s">
        <v>23</v>
      </c>
      <c r="E249" t="s">
        <v>15</v>
      </c>
      <c r="F249" t="s">
        <v>24</v>
      </c>
      <c r="G249" t="s">
        <v>26</v>
      </c>
      <c r="H249">
        <v>7</v>
      </c>
      <c r="I249">
        <v>113925</v>
      </c>
      <c r="J249">
        <v>101080.119394055</v>
      </c>
      <c r="K249" t="str">
        <f>IF(AND(data_tab[[#This Row],[Revenue]]="",data_tab[[#This Row],[Cost]]=""),"Remove",IF(OR(data_tab[[#This Row],[Revenue]]="",data_tab[[#This Row],[Cost]]=""),"Flag","Valid"))</f>
        <v>Valid</v>
      </c>
      <c r="L249" t="str">
        <f>IF((COUNTIFS(data_tab[Revenue],data_tab[[#This Row],[Revenue]],data_tab[Cost],data_tab[[#This Row],[Cost]]))&gt;1,"Duplicate","Unique")</f>
        <v>Unique</v>
      </c>
      <c r="M249">
        <f>data_tab[[#This Row],[Revenue]]-data_tab[[#This Row],[Cost]]</f>
        <v>12844.880605945</v>
      </c>
      <c r="N249" t="str">
        <f>IF(data_tab[[#This Row],[Revenue]]&lt;0,"Return","Sale")</f>
        <v>Sale</v>
      </c>
    </row>
    <row r="250" spans="1:14" hidden="1">
      <c r="A250" s="1">
        <v>46095</v>
      </c>
      <c r="B250">
        <f>MONTH(data_tab[[#This Row],[Order Date]])</f>
        <v>3</v>
      </c>
      <c r="C250">
        <f>YEAR(data_tab[[#This Row],[Order Date]])</f>
        <v>2026</v>
      </c>
      <c r="D250" t="s">
        <v>40</v>
      </c>
      <c r="E250" t="s">
        <v>15</v>
      </c>
      <c r="F250" t="s">
        <v>36</v>
      </c>
      <c r="G250" t="s">
        <v>37</v>
      </c>
      <c r="H250">
        <v>1</v>
      </c>
      <c r="I250">
        <v>5010</v>
      </c>
      <c r="J250">
        <v>2704.5477828000699</v>
      </c>
      <c r="K250" t="str">
        <f>IF(AND(data_tab[[#This Row],[Revenue]]="",data_tab[[#This Row],[Cost]]=""),"Remove",IF(OR(data_tab[[#This Row],[Revenue]]="",data_tab[[#This Row],[Cost]]=""),"Flag","Valid"))</f>
        <v>Valid</v>
      </c>
      <c r="L250" t="str">
        <f>IF((COUNTIFS(data_tab[Revenue],data_tab[[#This Row],[Revenue]],data_tab[Cost],data_tab[[#This Row],[Cost]]))&gt;1,"Duplicate","Unique")</f>
        <v>Unique</v>
      </c>
      <c r="M250">
        <f>data_tab[[#This Row],[Revenue]]-data_tab[[#This Row],[Cost]]</f>
        <v>2305.4522171999301</v>
      </c>
      <c r="N250" t="str">
        <f>IF(data_tab[[#This Row],[Revenue]]&lt;0,"Return","Sale")</f>
        <v>Sale</v>
      </c>
    </row>
    <row r="251" spans="1:14" hidden="1">
      <c r="A251" s="1">
        <v>46063</v>
      </c>
      <c r="B251">
        <f>MONTH(data_tab[[#This Row],[Order Date]])</f>
        <v>2</v>
      </c>
      <c r="C251">
        <f>YEAR(data_tab[[#This Row],[Order Date]])</f>
        <v>2026</v>
      </c>
      <c r="D251" t="s">
        <v>29</v>
      </c>
      <c r="E251" t="s">
        <v>15</v>
      </c>
      <c r="F251" t="s">
        <v>21</v>
      </c>
      <c r="G251" t="s">
        <v>41</v>
      </c>
      <c r="H251">
        <v>3</v>
      </c>
      <c r="I251">
        <v>133794</v>
      </c>
      <c r="J251">
        <v>83052.117317015596</v>
      </c>
      <c r="K251" t="str">
        <f>IF(AND(data_tab[[#This Row],[Revenue]]="",data_tab[[#This Row],[Cost]]=""),"Remove",IF(OR(data_tab[[#This Row],[Revenue]]="",data_tab[[#This Row],[Cost]]=""),"Flag","Valid"))</f>
        <v>Valid</v>
      </c>
      <c r="L251" t="str">
        <f>IF((COUNTIFS(data_tab[Revenue],data_tab[[#This Row],[Revenue]],data_tab[Cost],data_tab[[#This Row],[Cost]]))&gt;1,"Duplicate","Unique")</f>
        <v>Unique</v>
      </c>
      <c r="M251">
        <f>data_tab[[#This Row],[Revenue]]-data_tab[[#This Row],[Cost]]</f>
        <v>50741.882682984404</v>
      </c>
      <c r="N251" t="str">
        <f>IF(data_tab[[#This Row],[Revenue]]&lt;0,"Return","Sale")</f>
        <v>Sale</v>
      </c>
    </row>
    <row r="252" spans="1:14" hidden="1">
      <c r="A252" s="1">
        <v>46115</v>
      </c>
      <c r="B252">
        <f>MONTH(data_tab[[#This Row],[Order Date]])</f>
        <v>4</v>
      </c>
      <c r="C252">
        <f>YEAR(data_tab[[#This Row],[Order Date]])</f>
        <v>2026</v>
      </c>
      <c r="D252" t="s">
        <v>14</v>
      </c>
      <c r="E252" t="s">
        <v>15</v>
      </c>
      <c r="F252" t="s">
        <v>21</v>
      </c>
      <c r="G252" t="s">
        <v>39</v>
      </c>
      <c r="H252">
        <v>7</v>
      </c>
      <c r="I252">
        <v>300993</v>
      </c>
      <c r="J252">
        <v>187278.95765335899</v>
      </c>
      <c r="K252" t="str">
        <f>IF(AND(data_tab[[#This Row],[Revenue]]="",data_tab[[#This Row],[Cost]]=""),"Remove",IF(OR(data_tab[[#This Row],[Revenue]]="",data_tab[[#This Row],[Cost]]=""),"Flag","Valid"))</f>
        <v>Valid</v>
      </c>
      <c r="L252" t="str">
        <f>IF((COUNTIFS(data_tab[Revenue],data_tab[[#This Row],[Revenue]],data_tab[Cost],data_tab[[#This Row],[Cost]]))&gt;1,"Duplicate","Unique")</f>
        <v>Unique</v>
      </c>
      <c r="M252">
        <f>data_tab[[#This Row],[Revenue]]-data_tab[[#This Row],[Cost]]</f>
        <v>113714.04234664101</v>
      </c>
      <c r="N252" t="str">
        <f>IF(data_tab[[#This Row],[Revenue]]&lt;0,"Return","Sale")</f>
        <v>Sale</v>
      </c>
    </row>
    <row r="253" spans="1:14" hidden="1">
      <c r="A253" s="1">
        <v>46203</v>
      </c>
      <c r="B253">
        <f>MONTH(data_tab[[#This Row],[Order Date]])</f>
        <v>6</v>
      </c>
      <c r="C253">
        <f>YEAR(data_tab[[#This Row],[Order Date]])</f>
        <v>2026</v>
      </c>
      <c r="D253" t="s">
        <v>31</v>
      </c>
      <c r="E253" t="s">
        <v>32</v>
      </c>
      <c r="F253" t="s">
        <v>36</v>
      </c>
      <c r="G253" t="s">
        <v>39</v>
      </c>
      <c r="H253">
        <v>3</v>
      </c>
      <c r="I253">
        <v>122721</v>
      </c>
      <c r="K253" t="str">
        <f>IF(AND(data_tab[[#This Row],[Revenue]]="",data_tab[[#This Row],[Cost]]=""),"Remove",IF(OR(data_tab[[#This Row],[Revenue]]="",data_tab[[#This Row],[Cost]]=""),"Flag","Valid"))</f>
        <v>Flag</v>
      </c>
      <c r="L253" t="str">
        <f>IF((COUNTIFS(data_tab[Revenue],data_tab[[#This Row],[Revenue]],data_tab[Cost],data_tab[[#This Row],[Cost]]))&gt;1,"Duplicate","Unique")</f>
        <v>Unique</v>
      </c>
      <c r="M253">
        <f>data_tab[[#This Row],[Revenue]]-data_tab[[#This Row],[Cost]]</f>
        <v>122721</v>
      </c>
      <c r="N253" t="str">
        <f>IF(data_tab[[#This Row],[Revenue]]&lt;0,"Return","Sale")</f>
        <v>Sale</v>
      </c>
    </row>
    <row r="254" spans="1:14" hidden="1">
      <c r="A254" s="1">
        <v>46053</v>
      </c>
      <c r="B254">
        <f>MONTH(data_tab[[#This Row],[Order Date]])</f>
        <v>1</v>
      </c>
      <c r="C254">
        <f>YEAR(data_tab[[#This Row],[Order Date]])</f>
        <v>2026</v>
      </c>
      <c r="D254" t="s">
        <v>31</v>
      </c>
      <c r="E254" t="s">
        <v>32</v>
      </c>
      <c r="F254" t="s">
        <v>36</v>
      </c>
      <c r="G254" t="s">
        <v>39</v>
      </c>
      <c r="H254">
        <v>4</v>
      </c>
      <c r="I254">
        <v>108416</v>
      </c>
      <c r="J254">
        <v>58081.967390806698</v>
      </c>
      <c r="K254" t="str">
        <f>IF(AND(data_tab[[#This Row],[Revenue]]="",data_tab[[#This Row],[Cost]]=""),"Remove",IF(OR(data_tab[[#This Row],[Revenue]]="",data_tab[[#This Row],[Cost]]=""),"Flag","Valid"))</f>
        <v>Valid</v>
      </c>
      <c r="L254" t="str">
        <f>IF((COUNTIFS(data_tab[Revenue],data_tab[[#This Row],[Revenue]],data_tab[Cost],data_tab[[#This Row],[Cost]]))&gt;1,"Duplicate","Unique")</f>
        <v>Unique</v>
      </c>
      <c r="M254">
        <f>data_tab[[#This Row],[Revenue]]-data_tab[[#This Row],[Cost]]</f>
        <v>50334.032609193302</v>
      </c>
      <c r="N254" t="str">
        <f>IF(data_tab[[#This Row],[Revenue]]&lt;0,"Return","Sale")</f>
        <v>Sale</v>
      </c>
    </row>
    <row r="255" spans="1:14" hidden="1">
      <c r="A255" s="1">
        <v>46099</v>
      </c>
      <c r="B255">
        <f>MONTH(data_tab[[#This Row],[Order Date]])</f>
        <v>3</v>
      </c>
      <c r="C255">
        <f>YEAR(data_tab[[#This Row],[Order Date]])</f>
        <v>2026</v>
      </c>
      <c r="D255" t="s">
        <v>23</v>
      </c>
      <c r="E255" t="s">
        <v>15</v>
      </c>
      <c r="F255" t="s">
        <v>21</v>
      </c>
      <c r="G255" t="s">
        <v>41</v>
      </c>
      <c r="H255">
        <v>3</v>
      </c>
      <c r="J255">
        <v>13851.6421882225</v>
      </c>
      <c r="K255" t="str">
        <f>IF(AND(data_tab[[#This Row],[Revenue]]="",data_tab[[#This Row],[Cost]]=""),"Remove",IF(OR(data_tab[[#This Row],[Revenue]]="",data_tab[[#This Row],[Cost]]=""),"Flag","Valid"))</f>
        <v>Flag</v>
      </c>
      <c r="L255" t="str">
        <f>IF((COUNTIFS(data_tab[Revenue],data_tab[[#This Row],[Revenue]],data_tab[Cost],data_tab[[#This Row],[Cost]]))&gt;1,"Duplicate","Unique")</f>
        <v>Unique</v>
      </c>
      <c r="M255">
        <f>data_tab[[#This Row],[Revenue]]-data_tab[[#This Row],[Cost]]</f>
        <v>-13851.6421882225</v>
      </c>
      <c r="N255" t="str">
        <f>IF(data_tab[[#This Row],[Revenue]]&lt;0,"Return","Sale")</f>
        <v>Sale</v>
      </c>
    </row>
    <row r="256" spans="1:14" hidden="1">
      <c r="A256" s="1">
        <v>46077</v>
      </c>
      <c r="B256">
        <f>MONTH(data_tab[[#This Row],[Order Date]])</f>
        <v>2</v>
      </c>
      <c r="C256">
        <f>YEAR(data_tab[[#This Row],[Order Date]])</f>
        <v>2026</v>
      </c>
      <c r="D256" t="s">
        <v>29</v>
      </c>
      <c r="E256" t="s">
        <v>15</v>
      </c>
      <c r="F256" t="s">
        <v>36</v>
      </c>
      <c r="G256" t="s">
        <v>17</v>
      </c>
      <c r="H256">
        <v>2</v>
      </c>
      <c r="I256">
        <v>17168</v>
      </c>
      <c r="J256">
        <v>9545.4982458292998</v>
      </c>
      <c r="K256" t="str">
        <f>IF(AND(data_tab[[#This Row],[Revenue]]="",data_tab[[#This Row],[Cost]]=""),"Remove",IF(OR(data_tab[[#This Row],[Revenue]]="",data_tab[[#This Row],[Cost]]=""),"Flag","Valid"))</f>
        <v>Valid</v>
      </c>
      <c r="L256" t="str">
        <f>IF((COUNTIFS(data_tab[Revenue],data_tab[[#This Row],[Revenue]],data_tab[Cost],data_tab[[#This Row],[Cost]]))&gt;1,"Duplicate","Unique")</f>
        <v>Unique</v>
      </c>
      <c r="M256">
        <f>data_tab[[#This Row],[Revenue]]-data_tab[[#This Row],[Cost]]</f>
        <v>7622.5017541707002</v>
      </c>
      <c r="N256" t="str">
        <f>IF(data_tab[[#This Row],[Revenue]]&lt;0,"Return","Sale")</f>
        <v>Sale</v>
      </c>
    </row>
    <row r="257" spans="1:14" hidden="1">
      <c r="A257" s="1">
        <v>46132</v>
      </c>
      <c r="B257">
        <f>MONTH(data_tab[[#This Row],[Order Date]])</f>
        <v>4</v>
      </c>
      <c r="C257">
        <f>YEAR(data_tab[[#This Row],[Order Date]])</f>
        <v>2026</v>
      </c>
      <c r="D257" t="s">
        <v>35</v>
      </c>
      <c r="E257" t="s">
        <v>32</v>
      </c>
      <c r="F257" t="s">
        <v>24</v>
      </c>
      <c r="G257" t="s">
        <v>17</v>
      </c>
      <c r="H257">
        <v>9</v>
      </c>
      <c r="I257">
        <v>372483</v>
      </c>
      <c r="J257">
        <v>275638.59216315497</v>
      </c>
      <c r="K257" t="str">
        <f>IF(AND(data_tab[[#This Row],[Revenue]]="",data_tab[[#This Row],[Cost]]=""),"Remove",IF(OR(data_tab[[#This Row],[Revenue]]="",data_tab[[#This Row],[Cost]]=""),"Flag","Valid"))</f>
        <v>Valid</v>
      </c>
      <c r="L257" t="str">
        <f>IF((COUNTIFS(data_tab[Revenue],data_tab[[#This Row],[Revenue]],data_tab[Cost],data_tab[[#This Row],[Cost]]))&gt;1,"Duplicate","Unique")</f>
        <v>Unique</v>
      </c>
      <c r="M257">
        <f>data_tab[[#This Row],[Revenue]]-data_tab[[#This Row],[Cost]]</f>
        <v>96844.407836845028</v>
      </c>
      <c r="N257" t="str">
        <f>IF(data_tab[[#This Row],[Revenue]]&lt;0,"Return","Sale")</f>
        <v>Sale</v>
      </c>
    </row>
    <row r="258" spans="1:14" hidden="1">
      <c r="A258" s="1">
        <v>46191</v>
      </c>
      <c r="B258">
        <f>MONTH(data_tab[[#This Row],[Order Date]])</f>
        <v>6</v>
      </c>
      <c r="C258">
        <f>YEAR(data_tab[[#This Row],[Order Date]])</f>
        <v>2026</v>
      </c>
      <c r="D258" t="s">
        <v>40</v>
      </c>
      <c r="E258" t="s">
        <v>15</v>
      </c>
      <c r="F258" t="s">
        <v>21</v>
      </c>
      <c r="G258" t="s">
        <v>41</v>
      </c>
      <c r="H258">
        <v>7</v>
      </c>
      <c r="I258">
        <v>149576</v>
      </c>
      <c r="J258">
        <v>113448.596084672</v>
      </c>
      <c r="K258" t="str">
        <f>IF(AND(data_tab[[#This Row],[Revenue]]="",data_tab[[#This Row],[Cost]]=""),"Remove",IF(OR(data_tab[[#This Row],[Revenue]]="",data_tab[[#This Row],[Cost]]=""),"Flag","Valid"))</f>
        <v>Valid</v>
      </c>
      <c r="L258" t="str">
        <f>IF((COUNTIFS(data_tab[Revenue],data_tab[[#This Row],[Revenue]],data_tab[Cost],data_tab[[#This Row],[Cost]]))&gt;1,"Duplicate","Unique")</f>
        <v>Unique</v>
      </c>
      <c r="M258">
        <f>data_tab[[#This Row],[Revenue]]-data_tab[[#This Row],[Cost]]</f>
        <v>36127.403915328003</v>
      </c>
      <c r="N258" t="str">
        <f>IF(data_tab[[#This Row],[Revenue]]&lt;0,"Return","Sale")</f>
        <v>Sale</v>
      </c>
    </row>
    <row r="259" spans="1:14" hidden="1">
      <c r="A259" s="1">
        <v>46269</v>
      </c>
      <c r="B259">
        <f>MONTH(data_tab[[#This Row],[Order Date]])</f>
        <v>9</v>
      </c>
      <c r="C259">
        <f>YEAR(data_tab[[#This Row],[Order Date]])</f>
        <v>2026</v>
      </c>
      <c r="D259" t="s">
        <v>29</v>
      </c>
      <c r="E259" t="s">
        <v>15</v>
      </c>
      <c r="F259" t="s">
        <v>24</v>
      </c>
      <c r="G259" t="s">
        <v>26</v>
      </c>
      <c r="H259">
        <v>1</v>
      </c>
      <c r="I259">
        <v>25664</v>
      </c>
      <c r="J259">
        <v>22419.294337826799</v>
      </c>
      <c r="K259" t="str">
        <f>IF(AND(data_tab[[#This Row],[Revenue]]="",data_tab[[#This Row],[Cost]]=""),"Remove",IF(OR(data_tab[[#This Row],[Revenue]]="",data_tab[[#This Row],[Cost]]=""),"Flag","Valid"))</f>
        <v>Valid</v>
      </c>
      <c r="L259" t="str">
        <f>IF((COUNTIFS(data_tab[Revenue],data_tab[[#This Row],[Revenue]],data_tab[Cost],data_tab[[#This Row],[Cost]]))&gt;1,"Duplicate","Unique")</f>
        <v>Unique</v>
      </c>
      <c r="M259">
        <f>data_tab[[#This Row],[Revenue]]-data_tab[[#This Row],[Cost]]</f>
        <v>3244.7056621732008</v>
      </c>
      <c r="N259" t="str">
        <f>IF(data_tab[[#This Row],[Revenue]]&lt;0,"Return","Sale")</f>
        <v>Sale</v>
      </c>
    </row>
    <row r="260" spans="1:14" hidden="1">
      <c r="A260" s="1">
        <v>46116</v>
      </c>
      <c r="B260">
        <f>MONTH(data_tab[[#This Row],[Order Date]])</f>
        <v>4</v>
      </c>
      <c r="C260">
        <f>YEAR(data_tab[[#This Row],[Order Date]])</f>
        <v>2026</v>
      </c>
      <c r="D260" t="s">
        <v>29</v>
      </c>
      <c r="E260" t="s">
        <v>15</v>
      </c>
      <c r="F260" t="s">
        <v>24</v>
      </c>
      <c r="G260" t="s">
        <v>39</v>
      </c>
      <c r="H260">
        <v>10</v>
      </c>
      <c r="I260">
        <v>64250</v>
      </c>
      <c r="J260">
        <v>32479.4910411399</v>
      </c>
      <c r="K260" t="str">
        <f>IF(AND(data_tab[[#This Row],[Revenue]]="",data_tab[[#This Row],[Cost]]=""),"Remove",IF(OR(data_tab[[#This Row],[Revenue]]="",data_tab[[#This Row],[Cost]]=""),"Flag","Valid"))</f>
        <v>Valid</v>
      </c>
      <c r="L260" t="str">
        <f>IF((COUNTIFS(data_tab[Revenue],data_tab[[#This Row],[Revenue]],data_tab[Cost],data_tab[[#This Row],[Cost]]))&gt;1,"Duplicate","Unique")</f>
        <v>Unique</v>
      </c>
      <c r="M260">
        <f>data_tab[[#This Row],[Revenue]]-data_tab[[#This Row],[Cost]]</f>
        <v>31770.5089588601</v>
      </c>
      <c r="N260" t="str">
        <f>IF(data_tab[[#This Row],[Revenue]]&lt;0,"Return","Sale")</f>
        <v>Sale</v>
      </c>
    </row>
    <row r="261" spans="1:14" hidden="1">
      <c r="A261" s="1">
        <v>46124</v>
      </c>
      <c r="B261">
        <f>MONTH(data_tab[[#This Row],[Order Date]])</f>
        <v>4</v>
      </c>
      <c r="C261">
        <f>YEAR(data_tab[[#This Row],[Order Date]])</f>
        <v>2026</v>
      </c>
      <c r="D261" t="s">
        <v>40</v>
      </c>
      <c r="E261" t="s">
        <v>15</v>
      </c>
      <c r="F261" t="s">
        <v>36</v>
      </c>
      <c r="G261" t="s">
        <v>33</v>
      </c>
      <c r="H261">
        <v>7</v>
      </c>
      <c r="I261">
        <v>51807</v>
      </c>
      <c r="J261">
        <v>39177.226118239203</v>
      </c>
      <c r="K261" t="str">
        <f>IF(AND(data_tab[[#This Row],[Revenue]]="",data_tab[[#This Row],[Cost]]=""),"Remove",IF(OR(data_tab[[#This Row],[Revenue]]="",data_tab[[#This Row],[Cost]]=""),"Flag","Valid"))</f>
        <v>Valid</v>
      </c>
      <c r="L261" t="str">
        <f>IF((COUNTIFS(data_tab[Revenue],data_tab[[#This Row],[Revenue]],data_tab[Cost],data_tab[[#This Row],[Cost]]))&gt;1,"Duplicate","Unique")</f>
        <v>Unique</v>
      </c>
      <c r="M261">
        <f>data_tab[[#This Row],[Revenue]]-data_tab[[#This Row],[Cost]]</f>
        <v>12629.773881760797</v>
      </c>
      <c r="N261" t="str">
        <f>IF(data_tab[[#This Row],[Revenue]]&lt;0,"Return","Sale")</f>
        <v>Sale</v>
      </c>
    </row>
    <row r="262" spans="1:14" hidden="1">
      <c r="A262" s="1">
        <v>46043</v>
      </c>
      <c r="B262">
        <f>MONTH(data_tab[[#This Row],[Order Date]])</f>
        <v>1</v>
      </c>
      <c r="C262">
        <f>YEAR(data_tab[[#This Row],[Order Date]])</f>
        <v>2026</v>
      </c>
      <c r="D262" t="s">
        <v>23</v>
      </c>
      <c r="E262" t="s">
        <v>15</v>
      </c>
      <c r="F262" t="s">
        <v>21</v>
      </c>
      <c r="G262" t="s">
        <v>26</v>
      </c>
      <c r="H262">
        <v>6</v>
      </c>
      <c r="I262">
        <v>165636</v>
      </c>
      <c r="J262">
        <v>121672.04237308999</v>
      </c>
      <c r="K262" t="str">
        <f>IF(AND(data_tab[[#This Row],[Revenue]]="",data_tab[[#This Row],[Cost]]=""),"Remove",IF(OR(data_tab[[#This Row],[Revenue]]="",data_tab[[#This Row],[Cost]]=""),"Flag","Valid"))</f>
        <v>Valid</v>
      </c>
      <c r="L262" t="str">
        <f>IF((COUNTIFS(data_tab[Revenue],data_tab[[#This Row],[Revenue]],data_tab[Cost],data_tab[[#This Row],[Cost]]))&gt;1,"Duplicate","Unique")</f>
        <v>Unique</v>
      </c>
      <c r="M262">
        <f>data_tab[[#This Row],[Revenue]]-data_tab[[#This Row],[Cost]]</f>
        <v>43963.957626910007</v>
      </c>
      <c r="N262" t="str">
        <f>IF(data_tab[[#This Row],[Revenue]]&lt;0,"Return","Sale")</f>
        <v>Sale</v>
      </c>
    </row>
    <row r="263" spans="1:14" hidden="1">
      <c r="A263" s="1">
        <v>46102</v>
      </c>
      <c r="B263">
        <f>MONTH(data_tab[[#This Row],[Order Date]])</f>
        <v>3</v>
      </c>
      <c r="C263">
        <f>YEAR(data_tab[[#This Row],[Order Date]])</f>
        <v>2026</v>
      </c>
      <c r="D263" t="s">
        <v>23</v>
      </c>
      <c r="E263" t="s">
        <v>15</v>
      </c>
      <c r="F263" t="s">
        <v>21</v>
      </c>
      <c r="G263" t="s">
        <v>39</v>
      </c>
      <c r="H263">
        <v>4</v>
      </c>
      <c r="I263">
        <v>30600</v>
      </c>
      <c r="J263">
        <v>26617.443713233399</v>
      </c>
      <c r="K263" t="str">
        <f>IF(AND(data_tab[[#This Row],[Revenue]]="",data_tab[[#This Row],[Cost]]=""),"Remove",IF(OR(data_tab[[#This Row],[Revenue]]="",data_tab[[#This Row],[Cost]]=""),"Flag","Valid"))</f>
        <v>Valid</v>
      </c>
      <c r="L263" t="str">
        <f>IF((COUNTIFS(data_tab[Revenue],data_tab[[#This Row],[Revenue]],data_tab[Cost],data_tab[[#This Row],[Cost]]))&gt;1,"Duplicate","Unique")</f>
        <v>Unique</v>
      </c>
      <c r="M263">
        <f>data_tab[[#This Row],[Revenue]]-data_tab[[#This Row],[Cost]]</f>
        <v>3982.5562867666013</v>
      </c>
      <c r="N263" t="str">
        <f>IF(data_tab[[#This Row],[Revenue]]&lt;0,"Return","Sale")</f>
        <v>Sale</v>
      </c>
    </row>
    <row r="264" spans="1:14" hidden="1">
      <c r="A264" s="1">
        <v>46193</v>
      </c>
      <c r="B264">
        <f>MONTH(data_tab[[#This Row],[Order Date]])</f>
        <v>6</v>
      </c>
      <c r="C264">
        <f>YEAR(data_tab[[#This Row],[Order Date]])</f>
        <v>2026</v>
      </c>
      <c r="D264" t="s">
        <v>20</v>
      </c>
      <c r="E264" t="s">
        <v>15</v>
      </c>
      <c r="F264" t="s">
        <v>24</v>
      </c>
      <c r="G264" t="s">
        <v>41</v>
      </c>
      <c r="H264">
        <v>3</v>
      </c>
      <c r="I264">
        <v>143919</v>
      </c>
      <c r="J264">
        <v>72612.926980872799</v>
      </c>
      <c r="K264" t="str">
        <f>IF(AND(data_tab[[#This Row],[Revenue]]="",data_tab[[#This Row],[Cost]]=""),"Remove",IF(OR(data_tab[[#This Row],[Revenue]]="",data_tab[[#This Row],[Cost]]=""),"Flag","Valid"))</f>
        <v>Valid</v>
      </c>
      <c r="L264" t="str">
        <f>IF((COUNTIFS(data_tab[Revenue],data_tab[[#This Row],[Revenue]],data_tab[Cost],data_tab[[#This Row],[Cost]]))&gt;1,"Duplicate","Unique")</f>
        <v>Unique</v>
      </c>
      <c r="M264">
        <f>data_tab[[#This Row],[Revenue]]-data_tab[[#This Row],[Cost]]</f>
        <v>71306.073019127201</v>
      </c>
      <c r="N264" t="str">
        <f>IF(data_tab[[#This Row],[Revenue]]&lt;0,"Return","Sale")</f>
        <v>Sale</v>
      </c>
    </row>
    <row r="265" spans="1:14" hidden="1">
      <c r="A265" s="1">
        <v>46237</v>
      </c>
      <c r="B265">
        <f>MONTH(data_tab[[#This Row],[Order Date]])</f>
        <v>8</v>
      </c>
      <c r="C265">
        <f>YEAR(data_tab[[#This Row],[Order Date]])</f>
        <v>2026</v>
      </c>
      <c r="D265" t="s">
        <v>31</v>
      </c>
      <c r="E265" t="s">
        <v>32</v>
      </c>
      <c r="F265" t="s">
        <v>16</v>
      </c>
      <c r="G265" t="s">
        <v>41</v>
      </c>
      <c r="H265">
        <v>2</v>
      </c>
      <c r="I265">
        <v>7846</v>
      </c>
      <c r="J265">
        <v>4974.3986049907398</v>
      </c>
      <c r="K265" t="str">
        <f>IF(AND(data_tab[[#This Row],[Revenue]]="",data_tab[[#This Row],[Cost]]=""),"Remove",IF(OR(data_tab[[#This Row],[Revenue]]="",data_tab[[#This Row],[Cost]]=""),"Flag","Valid"))</f>
        <v>Valid</v>
      </c>
      <c r="L265" t="str">
        <f>IF((COUNTIFS(data_tab[Revenue],data_tab[[#This Row],[Revenue]],data_tab[Cost],data_tab[[#This Row],[Cost]]))&gt;1,"Duplicate","Unique")</f>
        <v>Unique</v>
      </c>
      <c r="M265">
        <f>data_tab[[#This Row],[Revenue]]-data_tab[[#This Row],[Cost]]</f>
        <v>2871.6013950092602</v>
      </c>
      <c r="N265" t="str">
        <f>IF(data_tab[[#This Row],[Revenue]]&lt;0,"Return","Sale")</f>
        <v>Sale</v>
      </c>
    </row>
    <row r="266" spans="1:14">
      <c r="A266" s="1">
        <v>46170</v>
      </c>
      <c r="B266">
        <f>MONTH(data_tab[[#This Row],[Order Date]])</f>
        <v>5</v>
      </c>
      <c r="C266">
        <f>YEAR(data_tab[[#This Row],[Order Date]])</f>
        <v>2026</v>
      </c>
      <c r="D266" t="s">
        <v>40</v>
      </c>
      <c r="E266" t="s">
        <v>15</v>
      </c>
      <c r="F266" t="s">
        <v>16</v>
      </c>
      <c r="G266" t="s">
        <v>39</v>
      </c>
      <c r="H266">
        <v>8</v>
      </c>
      <c r="I266">
        <v>313208</v>
      </c>
      <c r="J266">
        <v>177511.43489232799</v>
      </c>
      <c r="K266" t="str">
        <f>IF(AND(data_tab[[#This Row],[Revenue]]="",data_tab[[#This Row],[Cost]]=""),"Remove",IF(OR(data_tab[[#This Row],[Revenue]]="",data_tab[[#This Row],[Cost]]=""),"Flag","Valid"))</f>
        <v>Valid</v>
      </c>
      <c r="L266" t="str">
        <f>IF((COUNTIFS(data_tab[Revenue],data_tab[[#This Row],[Revenue]],data_tab[Cost],data_tab[[#This Row],[Cost]]))&gt;1,"Duplicate","Unique")</f>
        <v>Unique</v>
      </c>
      <c r="M266">
        <f>data_tab[[#This Row],[Revenue]]-data_tab[[#This Row],[Cost]]</f>
        <v>135696.56510767201</v>
      </c>
      <c r="N266" t="str">
        <f>IF(data_tab[[#This Row],[Revenue]]&lt;0,"Return","Sale")</f>
        <v>Sale</v>
      </c>
    </row>
    <row r="267" spans="1:14" hidden="1">
      <c r="A267" s="1">
        <v>46195</v>
      </c>
      <c r="B267">
        <f>MONTH(data_tab[[#This Row],[Order Date]])</f>
        <v>6</v>
      </c>
      <c r="C267">
        <f>YEAR(data_tab[[#This Row],[Order Date]])</f>
        <v>2026</v>
      </c>
      <c r="D267" t="s">
        <v>40</v>
      </c>
      <c r="E267" t="s">
        <v>15</v>
      </c>
      <c r="F267" t="s">
        <v>24</v>
      </c>
      <c r="G267" t="s">
        <v>39</v>
      </c>
      <c r="H267">
        <v>1</v>
      </c>
      <c r="I267">
        <v>18026</v>
      </c>
      <c r="J267">
        <v>9344.5452231169602</v>
      </c>
      <c r="K267" t="str">
        <f>IF(AND(data_tab[[#This Row],[Revenue]]="",data_tab[[#This Row],[Cost]]=""),"Remove",IF(OR(data_tab[[#This Row],[Revenue]]="",data_tab[[#This Row],[Cost]]=""),"Flag","Valid"))</f>
        <v>Valid</v>
      </c>
      <c r="L267" t="str">
        <f>IF((COUNTIFS(data_tab[Revenue],data_tab[[#This Row],[Revenue]],data_tab[Cost],data_tab[[#This Row],[Cost]]))&gt;1,"Duplicate","Unique")</f>
        <v>Unique</v>
      </c>
      <c r="M267">
        <f>data_tab[[#This Row],[Revenue]]-data_tab[[#This Row],[Cost]]</f>
        <v>8681.4547768830398</v>
      </c>
      <c r="N267" t="str">
        <f>IF(data_tab[[#This Row],[Revenue]]&lt;0,"Return","Sale")</f>
        <v>Sale</v>
      </c>
    </row>
    <row r="268" spans="1:14" hidden="1">
      <c r="A268" s="1">
        <v>46032</v>
      </c>
      <c r="B268">
        <f>MONTH(data_tab[[#This Row],[Order Date]])</f>
        <v>1</v>
      </c>
      <c r="C268">
        <f>YEAR(data_tab[[#This Row],[Order Date]])</f>
        <v>2026</v>
      </c>
      <c r="D268" t="s">
        <v>14</v>
      </c>
      <c r="E268" t="s">
        <v>15</v>
      </c>
      <c r="F268" t="s">
        <v>36</v>
      </c>
      <c r="G268" t="s">
        <v>17</v>
      </c>
      <c r="H268">
        <v>6</v>
      </c>
      <c r="I268">
        <v>109620</v>
      </c>
      <c r="J268">
        <v>73062.019331085598</v>
      </c>
      <c r="K268" t="str">
        <f>IF(AND(data_tab[[#This Row],[Revenue]]="",data_tab[[#This Row],[Cost]]=""),"Remove",IF(OR(data_tab[[#This Row],[Revenue]]="",data_tab[[#This Row],[Cost]]=""),"Flag","Valid"))</f>
        <v>Valid</v>
      </c>
      <c r="L268" t="str">
        <f>IF((COUNTIFS(data_tab[Revenue],data_tab[[#This Row],[Revenue]],data_tab[Cost],data_tab[[#This Row],[Cost]]))&gt;1,"Duplicate","Unique")</f>
        <v>Unique</v>
      </c>
      <c r="M268">
        <f>data_tab[[#This Row],[Revenue]]-data_tab[[#This Row],[Cost]]</f>
        <v>36557.980668914402</v>
      </c>
      <c r="N268" t="str">
        <f>IF(data_tab[[#This Row],[Revenue]]&lt;0,"Return","Sale")</f>
        <v>Sale</v>
      </c>
    </row>
    <row r="269" spans="1:14" hidden="1">
      <c r="A269" s="1">
        <v>46177</v>
      </c>
      <c r="B269">
        <f>MONTH(data_tab[[#This Row],[Order Date]])</f>
        <v>6</v>
      </c>
      <c r="C269">
        <f>YEAR(data_tab[[#This Row],[Order Date]])</f>
        <v>2026</v>
      </c>
      <c r="D269" t="s">
        <v>14</v>
      </c>
      <c r="E269" t="s">
        <v>15</v>
      </c>
      <c r="F269" t="s">
        <v>24</v>
      </c>
      <c r="G269" t="s">
        <v>17</v>
      </c>
      <c r="H269">
        <v>4</v>
      </c>
      <c r="I269">
        <v>143204</v>
      </c>
      <c r="J269">
        <v>127818.956388751</v>
      </c>
      <c r="K269" t="str">
        <f>IF(AND(data_tab[[#This Row],[Revenue]]="",data_tab[[#This Row],[Cost]]=""),"Remove",IF(OR(data_tab[[#This Row],[Revenue]]="",data_tab[[#This Row],[Cost]]=""),"Flag","Valid"))</f>
        <v>Valid</v>
      </c>
      <c r="L269" t="str">
        <f>IF((COUNTIFS(data_tab[Revenue],data_tab[[#This Row],[Revenue]],data_tab[Cost],data_tab[[#This Row],[Cost]]))&gt;1,"Duplicate","Unique")</f>
        <v>Unique</v>
      </c>
      <c r="M269">
        <f>data_tab[[#This Row],[Revenue]]-data_tab[[#This Row],[Cost]]</f>
        <v>15385.043611248999</v>
      </c>
      <c r="N269" t="str">
        <f>IF(data_tab[[#This Row],[Revenue]]&lt;0,"Return","Sale")</f>
        <v>Sale</v>
      </c>
    </row>
    <row r="270" spans="1:14" hidden="1">
      <c r="A270" s="1">
        <v>46095</v>
      </c>
      <c r="B270">
        <f>MONTH(data_tab[[#This Row],[Order Date]])</f>
        <v>3</v>
      </c>
      <c r="C270">
        <f>YEAR(data_tab[[#This Row],[Order Date]])</f>
        <v>2026</v>
      </c>
      <c r="D270" t="s">
        <v>20</v>
      </c>
      <c r="E270" t="s">
        <v>15</v>
      </c>
      <c r="F270" t="s">
        <v>36</v>
      </c>
      <c r="G270" t="s">
        <v>39</v>
      </c>
      <c r="H270">
        <v>6</v>
      </c>
      <c r="I270">
        <v>90906</v>
      </c>
      <c r="J270">
        <v>56056.097324470902</v>
      </c>
      <c r="K270" t="str">
        <f>IF(AND(data_tab[[#This Row],[Revenue]]="",data_tab[[#This Row],[Cost]]=""),"Remove",IF(OR(data_tab[[#This Row],[Revenue]]="",data_tab[[#This Row],[Cost]]=""),"Flag","Valid"))</f>
        <v>Valid</v>
      </c>
      <c r="L270" t="str">
        <f>IF((COUNTIFS(data_tab[Revenue],data_tab[[#This Row],[Revenue]],data_tab[Cost],data_tab[[#This Row],[Cost]]))&gt;1,"Duplicate","Unique")</f>
        <v>Unique</v>
      </c>
      <c r="M270">
        <f>data_tab[[#This Row],[Revenue]]-data_tab[[#This Row],[Cost]]</f>
        <v>34849.902675529098</v>
      </c>
      <c r="N270" t="str">
        <f>IF(data_tab[[#This Row],[Revenue]]&lt;0,"Return","Sale")</f>
        <v>Sale</v>
      </c>
    </row>
    <row r="271" spans="1:14" hidden="1">
      <c r="A271" s="1">
        <v>46117</v>
      </c>
      <c r="B271">
        <f>MONTH(data_tab[[#This Row],[Order Date]])</f>
        <v>4</v>
      </c>
      <c r="C271">
        <f>YEAR(data_tab[[#This Row],[Order Date]])</f>
        <v>2026</v>
      </c>
      <c r="D271" t="s">
        <v>23</v>
      </c>
      <c r="E271" t="s">
        <v>15</v>
      </c>
      <c r="F271" t="s">
        <v>21</v>
      </c>
      <c r="G271" t="s">
        <v>41</v>
      </c>
      <c r="H271">
        <v>9</v>
      </c>
      <c r="I271">
        <v>162576</v>
      </c>
      <c r="K271" t="str">
        <f>IF(AND(data_tab[[#This Row],[Revenue]]="",data_tab[[#This Row],[Cost]]=""),"Remove",IF(OR(data_tab[[#This Row],[Revenue]]="",data_tab[[#This Row],[Cost]]=""),"Flag","Valid"))</f>
        <v>Flag</v>
      </c>
      <c r="L271" t="str">
        <f>IF((COUNTIFS(data_tab[Revenue],data_tab[[#This Row],[Revenue]],data_tab[Cost],data_tab[[#This Row],[Cost]]))&gt;1,"Duplicate","Unique")</f>
        <v>Unique</v>
      </c>
      <c r="M271">
        <f>data_tab[[#This Row],[Revenue]]-data_tab[[#This Row],[Cost]]</f>
        <v>162576</v>
      </c>
      <c r="N271" t="str">
        <f>IF(data_tab[[#This Row],[Revenue]]&lt;0,"Return","Sale")</f>
        <v>Sale</v>
      </c>
    </row>
    <row r="272" spans="1:14" hidden="1">
      <c r="A272" s="1">
        <v>46185</v>
      </c>
      <c r="B272">
        <f>MONTH(data_tab[[#This Row],[Order Date]])</f>
        <v>6</v>
      </c>
      <c r="C272">
        <f>YEAR(data_tab[[#This Row],[Order Date]])</f>
        <v>2026</v>
      </c>
      <c r="D272" t="s">
        <v>35</v>
      </c>
      <c r="E272" t="s">
        <v>32</v>
      </c>
      <c r="F272" t="s">
        <v>24</v>
      </c>
      <c r="G272" t="s">
        <v>41</v>
      </c>
      <c r="H272">
        <v>7</v>
      </c>
      <c r="I272">
        <v>347606</v>
      </c>
      <c r="J272">
        <v>216560.0170665</v>
      </c>
      <c r="K272" t="str">
        <f>IF(AND(data_tab[[#This Row],[Revenue]]="",data_tab[[#This Row],[Cost]]=""),"Remove",IF(OR(data_tab[[#This Row],[Revenue]]="",data_tab[[#This Row],[Cost]]=""),"Flag","Valid"))</f>
        <v>Valid</v>
      </c>
      <c r="L272" t="str">
        <f>IF((COUNTIFS(data_tab[Revenue],data_tab[[#This Row],[Revenue]],data_tab[Cost],data_tab[[#This Row],[Cost]]))&gt;1,"Duplicate","Unique")</f>
        <v>Unique</v>
      </c>
      <c r="M272">
        <f>data_tab[[#This Row],[Revenue]]-data_tab[[#This Row],[Cost]]</f>
        <v>131045.9829335</v>
      </c>
      <c r="N272" t="str">
        <f>IF(data_tab[[#This Row],[Revenue]]&lt;0,"Return","Sale")</f>
        <v>Sale</v>
      </c>
    </row>
    <row r="273" spans="1:14" hidden="1">
      <c r="A273" s="1">
        <v>46038</v>
      </c>
      <c r="B273">
        <f>MONTH(data_tab[[#This Row],[Order Date]])</f>
        <v>1</v>
      </c>
      <c r="C273">
        <f>YEAR(data_tab[[#This Row],[Order Date]])</f>
        <v>2026</v>
      </c>
      <c r="D273" t="s">
        <v>35</v>
      </c>
      <c r="E273" t="s">
        <v>32</v>
      </c>
      <c r="F273" t="s">
        <v>24</v>
      </c>
      <c r="G273" t="s">
        <v>39</v>
      </c>
      <c r="H273">
        <v>4</v>
      </c>
      <c r="I273">
        <v>144248</v>
      </c>
      <c r="J273">
        <v>95957.047116564994</v>
      </c>
      <c r="K273" t="str">
        <f>IF(AND(data_tab[[#This Row],[Revenue]]="",data_tab[[#This Row],[Cost]]=""),"Remove",IF(OR(data_tab[[#This Row],[Revenue]]="",data_tab[[#This Row],[Cost]]=""),"Flag","Valid"))</f>
        <v>Valid</v>
      </c>
      <c r="L273" t="str">
        <f>IF((COUNTIFS(data_tab[Revenue],data_tab[[#This Row],[Revenue]],data_tab[Cost],data_tab[[#This Row],[Cost]]))&gt;1,"Duplicate","Unique")</f>
        <v>Unique</v>
      </c>
      <c r="M273">
        <f>data_tab[[#This Row],[Revenue]]-data_tab[[#This Row],[Cost]]</f>
        <v>48290.952883435006</v>
      </c>
      <c r="N273" t="str">
        <f>IF(data_tab[[#This Row],[Revenue]]&lt;0,"Return","Sale")</f>
        <v>Sale</v>
      </c>
    </row>
    <row r="274" spans="1:14">
      <c r="A274" s="1">
        <v>46171</v>
      </c>
      <c r="B274">
        <f>MONTH(data_tab[[#This Row],[Order Date]])</f>
        <v>5</v>
      </c>
      <c r="C274">
        <f>YEAR(data_tab[[#This Row],[Order Date]])</f>
        <v>2026</v>
      </c>
      <c r="D274" t="s">
        <v>31</v>
      </c>
      <c r="E274" t="s">
        <v>32</v>
      </c>
      <c r="F274" t="s">
        <v>36</v>
      </c>
      <c r="G274" t="s">
        <v>39</v>
      </c>
      <c r="H274">
        <v>10</v>
      </c>
      <c r="I274">
        <v>392120</v>
      </c>
      <c r="J274">
        <v>205828.94257737801</v>
      </c>
      <c r="K274" t="str">
        <f>IF(AND(data_tab[[#This Row],[Revenue]]="",data_tab[[#This Row],[Cost]]=""),"Remove",IF(OR(data_tab[[#This Row],[Revenue]]="",data_tab[[#This Row],[Cost]]=""),"Flag","Valid"))</f>
        <v>Valid</v>
      </c>
      <c r="L274" t="str">
        <f>IF((COUNTIFS(data_tab[Revenue],data_tab[[#This Row],[Revenue]],data_tab[Cost],data_tab[[#This Row],[Cost]]))&gt;1,"Duplicate","Unique")</f>
        <v>Unique</v>
      </c>
      <c r="M274">
        <f>data_tab[[#This Row],[Revenue]]-data_tab[[#This Row],[Cost]]</f>
        <v>186291.05742262199</v>
      </c>
      <c r="N274" t="str">
        <f>IF(data_tab[[#This Row],[Revenue]]&lt;0,"Return","Sale")</f>
        <v>Sale</v>
      </c>
    </row>
    <row r="275" spans="1:14" hidden="1">
      <c r="A275" s="1">
        <v>46103</v>
      </c>
      <c r="B275">
        <f>MONTH(data_tab[[#This Row],[Order Date]])</f>
        <v>3</v>
      </c>
      <c r="C275">
        <f>YEAR(data_tab[[#This Row],[Order Date]])</f>
        <v>2026</v>
      </c>
      <c r="D275" t="s">
        <v>23</v>
      </c>
      <c r="E275" t="s">
        <v>15</v>
      </c>
      <c r="F275" t="s">
        <v>16</v>
      </c>
      <c r="G275" t="s">
        <v>37</v>
      </c>
      <c r="H275">
        <v>8</v>
      </c>
      <c r="I275">
        <v>158576</v>
      </c>
      <c r="J275">
        <v>94106.053550158802</v>
      </c>
      <c r="K275" t="str">
        <f>IF(AND(data_tab[[#This Row],[Revenue]]="",data_tab[[#This Row],[Cost]]=""),"Remove",IF(OR(data_tab[[#This Row],[Revenue]]="",data_tab[[#This Row],[Cost]]=""),"Flag","Valid"))</f>
        <v>Valid</v>
      </c>
      <c r="L275" t="str">
        <f>IF((COUNTIFS(data_tab[Revenue],data_tab[[#This Row],[Revenue]],data_tab[Cost],data_tab[[#This Row],[Cost]]))&gt;1,"Duplicate","Unique")</f>
        <v>Unique</v>
      </c>
      <c r="M275">
        <f>data_tab[[#This Row],[Revenue]]-data_tab[[#This Row],[Cost]]</f>
        <v>64469.946449841198</v>
      </c>
      <c r="N275" t="str">
        <f>IF(data_tab[[#This Row],[Revenue]]&lt;0,"Return","Sale")</f>
        <v>Sale</v>
      </c>
    </row>
    <row r="276" spans="1:14" hidden="1">
      <c r="A276" s="1">
        <v>46050</v>
      </c>
      <c r="B276">
        <f>MONTH(data_tab[[#This Row],[Order Date]])</f>
        <v>1</v>
      </c>
      <c r="C276">
        <f>YEAR(data_tab[[#This Row],[Order Date]])</f>
        <v>2026</v>
      </c>
      <c r="D276" t="s">
        <v>31</v>
      </c>
      <c r="E276" t="s">
        <v>32</v>
      </c>
      <c r="F276" t="s">
        <v>36</v>
      </c>
      <c r="G276" t="s">
        <v>33</v>
      </c>
      <c r="H276">
        <v>6</v>
      </c>
      <c r="I276">
        <v>171846</v>
      </c>
      <c r="J276">
        <v>94222.250127543404</v>
      </c>
      <c r="K276" t="str">
        <f>IF(AND(data_tab[[#This Row],[Revenue]]="",data_tab[[#This Row],[Cost]]=""),"Remove",IF(OR(data_tab[[#This Row],[Revenue]]="",data_tab[[#This Row],[Cost]]=""),"Flag","Valid"))</f>
        <v>Valid</v>
      </c>
      <c r="L276" t="str">
        <f>IF((COUNTIFS(data_tab[Revenue],data_tab[[#This Row],[Revenue]],data_tab[Cost],data_tab[[#This Row],[Cost]]))&gt;1,"Duplicate","Unique")</f>
        <v>Unique</v>
      </c>
      <c r="M276">
        <f>data_tab[[#This Row],[Revenue]]-data_tab[[#This Row],[Cost]]</f>
        <v>77623.749872456596</v>
      </c>
      <c r="N276" t="str">
        <f>IF(data_tab[[#This Row],[Revenue]]&lt;0,"Return","Sale")</f>
        <v>Sale</v>
      </c>
    </row>
    <row r="277" spans="1:14" hidden="1">
      <c r="A277" s="1">
        <v>46141</v>
      </c>
      <c r="B277">
        <f>MONTH(data_tab[[#This Row],[Order Date]])</f>
        <v>4</v>
      </c>
      <c r="C277">
        <f>YEAR(data_tab[[#This Row],[Order Date]])</f>
        <v>2026</v>
      </c>
      <c r="D277" t="s">
        <v>31</v>
      </c>
      <c r="E277" t="s">
        <v>32</v>
      </c>
      <c r="F277" t="s">
        <v>16</v>
      </c>
      <c r="G277" t="s">
        <v>41</v>
      </c>
      <c r="H277">
        <v>10</v>
      </c>
      <c r="I277">
        <v>46430</v>
      </c>
      <c r="J277">
        <v>27208.366102105301</v>
      </c>
      <c r="K277" t="str">
        <f>IF(AND(data_tab[[#This Row],[Revenue]]="",data_tab[[#This Row],[Cost]]=""),"Remove",IF(OR(data_tab[[#This Row],[Revenue]]="",data_tab[[#This Row],[Cost]]=""),"Flag","Valid"))</f>
        <v>Valid</v>
      </c>
      <c r="L277" t="str">
        <f>IF((COUNTIFS(data_tab[Revenue],data_tab[[#This Row],[Revenue]],data_tab[Cost],data_tab[[#This Row],[Cost]]))&gt;1,"Duplicate","Unique")</f>
        <v>Unique</v>
      </c>
      <c r="M277">
        <f>data_tab[[#This Row],[Revenue]]-data_tab[[#This Row],[Cost]]</f>
        <v>19221.633897894699</v>
      </c>
      <c r="N277" t="str">
        <f>IF(data_tab[[#This Row],[Revenue]]&lt;0,"Return","Sale")</f>
        <v>Sale</v>
      </c>
    </row>
    <row r="278" spans="1:14" hidden="1">
      <c r="A278" s="1">
        <v>46114</v>
      </c>
      <c r="B278">
        <f>MONTH(data_tab[[#This Row],[Order Date]])</f>
        <v>4</v>
      </c>
      <c r="C278">
        <f>YEAR(data_tab[[#This Row],[Order Date]])</f>
        <v>2026</v>
      </c>
      <c r="D278" t="s">
        <v>35</v>
      </c>
      <c r="E278" t="s">
        <v>32</v>
      </c>
      <c r="F278" t="s">
        <v>16</v>
      </c>
      <c r="G278" t="s">
        <v>17</v>
      </c>
      <c r="H278">
        <v>1</v>
      </c>
      <c r="I278">
        <v>28502</v>
      </c>
      <c r="J278">
        <v>23994.138553734501</v>
      </c>
      <c r="K278" t="str">
        <f>IF(AND(data_tab[[#This Row],[Revenue]]="",data_tab[[#This Row],[Cost]]=""),"Remove",IF(OR(data_tab[[#This Row],[Revenue]]="",data_tab[[#This Row],[Cost]]=""),"Flag","Valid"))</f>
        <v>Valid</v>
      </c>
      <c r="L278" t="str">
        <f>IF((COUNTIFS(data_tab[Revenue],data_tab[[#This Row],[Revenue]],data_tab[Cost],data_tab[[#This Row],[Cost]]))&gt;1,"Duplicate","Unique")</f>
        <v>Unique</v>
      </c>
      <c r="M278">
        <f>data_tab[[#This Row],[Revenue]]-data_tab[[#This Row],[Cost]]</f>
        <v>4507.8614462654987</v>
      </c>
      <c r="N278" t="str">
        <f>IF(data_tab[[#This Row],[Revenue]]&lt;0,"Return","Sale")</f>
        <v>Sale</v>
      </c>
    </row>
    <row r="279" spans="1:14" hidden="1">
      <c r="A279" s="1">
        <v>46049</v>
      </c>
      <c r="B279">
        <f>MONTH(data_tab[[#This Row],[Order Date]])</f>
        <v>1</v>
      </c>
      <c r="C279">
        <f>YEAR(data_tab[[#This Row],[Order Date]])</f>
        <v>2026</v>
      </c>
      <c r="D279" t="s">
        <v>20</v>
      </c>
      <c r="E279" t="s">
        <v>15</v>
      </c>
      <c r="F279" t="s">
        <v>24</v>
      </c>
      <c r="G279" t="s">
        <v>17</v>
      </c>
      <c r="H279">
        <v>3</v>
      </c>
      <c r="I279">
        <v>44952</v>
      </c>
      <c r="J279">
        <v>37286.306943818701</v>
      </c>
      <c r="K279" t="str">
        <f>IF(AND(data_tab[[#This Row],[Revenue]]="",data_tab[[#This Row],[Cost]]=""),"Remove",IF(OR(data_tab[[#This Row],[Revenue]]="",data_tab[[#This Row],[Cost]]=""),"Flag","Valid"))</f>
        <v>Valid</v>
      </c>
      <c r="L279" t="str">
        <f>IF((COUNTIFS(data_tab[Revenue],data_tab[[#This Row],[Revenue]],data_tab[Cost],data_tab[[#This Row],[Cost]]))&gt;1,"Duplicate","Unique")</f>
        <v>Duplicate</v>
      </c>
      <c r="M279">
        <f>data_tab[[#This Row],[Revenue]]-data_tab[[#This Row],[Cost]]</f>
        <v>7665.6930561812987</v>
      </c>
      <c r="N279" t="str">
        <f>IF(data_tab[[#This Row],[Revenue]]&lt;0,"Return","Sale")</f>
        <v>Sale</v>
      </c>
    </row>
    <row r="280" spans="1:14">
      <c r="A280" s="1">
        <v>46172</v>
      </c>
      <c r="B280">
        <f>MONTH(data_tab[[#This Row],[Order Date]])</f>
        <v>5</v>
      </c>
      <c r="C280">
        <f>YEAR(data_tab[[#This Row],[Order Date]])</f>
        <v>2026</v>
      </c>
      <c r="D280" t="s">
        <v>20</v>
      </c>
      <c r="E280" t="s">
        <v>15</v>
      </c>
      <c r="F280" t="s">
        <v>24</v>
      </c>
      <c r="G280" t="s">
        <v>39</v>
      </c>
      <c r="H280">
        <v>4</v>
      </c>
      <c r="I280">
        <v>177340</v>
      </c>
      <c r="J280">
        <v>120125.24438762901</v>
      </c>
      <c r="K280" t="str">
        <f>IF(AND(data_tab[[#This Row],[Revenue]]="",data_tab[[#This Row],[Cost]]=""),"Remove",IF(OR(data_tab[[#This Row],[Revenue]]="",data_tab[[#This Row],[Cost]]=""),"Flag","Valid"))</f>
        <v>Valid</v>
      </c>
      <c r="L280" t="str">
        <f>IF((COUNTIFS(data_tab[Revenue],data_tab[[#This Row],[Revenue]],data_tab[Cost],data_tab[[#This Row],[Cost]]))&gt;1,"Duplicate","Unique")</f>
        <v>Unique</v>
      </c>
      <c r="M280">
        <f>data_tab[[#This Row],[Revenue]]-data_tab[[#This Row],[Cost]]</f>
        <v>57214.755612370995</v>
      </c>
      <c r="N280" t="str">
        <f>IF(data_tab[[#This Row],[Revenue]]&lt;0,"Return","Sale")</f>
        <v>Sale</v>
      </c>
    </row>
    <row r="281" spans="1:14" hidden="1">
      <c r="A281" s="1">
        <v>46107</v>
      </c>
      <c r="B281">
        <f>MONTH(data_tab[[#This Row],[Order Date]])</f>
        <v>3</v>
      </c>
      <c r="C281">
        <f>YEAR(data_tab[[#This Row],[Order Date]])</f>
        <v>2026</v>
      </c>
      <c r="D281" t="s">
        <v>29</v>
      </c>
      <c r="E281" t="s">
        <v>15</v>
      </c>
      <c r="F281" t="s">
        <v>24</v>
      </c>
      <c r="G281" t="s">
        <v>17</v>
      </c>
      <c r="H281">
        <v>10</v>
      </c>
      <c r="I281">
        <v>303870</v>
      </c>
      <c r="K281" t="str">
        <f>IF(AND(data_tab[[#This Row],[Revenue]]="",data_tab[[#This Row],[Cost]]=""),"Remove",IF(OR(data_tab[[#This Row],[Revenue]]="",data_tab[[#This Row],[Cost]]=""),"Flag","Valid"))</f>
        <v>Flag</v>
      </c>
      <c r="L281" t="str">
        <f>IF((COUNTIFS(data_tab[Revenue],data_tab[[#This Row],[Revenue]],data_tab[Cost],data_tab[[#This Row],[Cost]]))&gt;1,"Duplicate","Unique")</f>
        <v>Unique</v>
      </c>
      <c r="M281">
        <f>data_tab[[#This Row],[Revenue]]-data_tab[[#This Row],[Cost]]</f>
        <v>303870</v>
      </c>
      <c r="N281" t="str">
        <f>IF(data_tab[[#This Row],[Revenue]]&lt;0,"Return","Sale")</f>
        <v>Sale</v>
      </c>
    </row>
    <row r="282" spans="1:14" hidden="1">
      <c r="A282" s="1">
        <v>46067</v>
      </c>
      <c r="B282">
        <f>MONTH(data_tab[[#This Row],[Order Date]])</f>
        <v>2</v>
      </c>
      <c r="C282">
        <f>YEAR(data_tab[[#This Row],[Order Date]])</f>
        <v>2026</v>
      </c>
      <c r="D282" t="s">
        <v>35</v>
      </c>
      <c r="E282" t="s">
        <v>32</v>
      </c>
      <c r="F282" t="s">
        <v>16</v>
      </c>
      <c r="G282" t="s">
        <v>33</v>
      </c>
      <c r="H282">
        <v>3</v>
      </c>
      <c r="I282">
        <v>12810</v>
      </c>
      <c r="J282">
        <v>9551.6821045328707</v>
      </c>
      <c r="K282" t="str">
        <f>IF(AND(data_tab[[#This Row],[Revenue]]="",data_tab[[#This Row],[Cost]]=""),"Remove",IF(OR(data_tab[[#This Row],[Revenue]]="",data_tab[[#This Row],[Cost]]=""),"Flag","Valid"))</f>
        <v>Valid</v>
      </c>
      <c r="L282" t="str">
        <f>IF((COUNTIFS(data_tab[Revenue],data_tab[[#This Row],[Revenue]],data_tab[Cost],data_tab[[#This Row],[Cost]]))&gt;1,"Duplicate","Unique")</f>
        <v>Duplicate</v>
      </c>
      <c r="M282">
        <f>data_tab[[#This Row],[Revenue]]-data_tab[[#This Row],[Cost]]</f>
        <v>3258.3178954671293</v>
      </c>
      <c r="N282" t="str">
        <f>IF(data_tab[[#This Row],[Revenue]]&lt;0,"Return","Sale")</f>
        <v>Sale</v>
      </c>
    </row>
    <row r="283" spans="1:14">
      <c r="A283" s="1">
        <v>46163</v>
      </c>
      <c r="B283">
        <f>MONTH(data_tab[[#This Row],[Order Date]])</f>
        <v>5</v>
      </c>
      <c r="C283">
        <f>YEAR(data_tab[[#This Row],[Order Date]])</f>
        <v>2026</v>
      </c>
      <c r="D283" t="s">
        <v>29</v>
      </c>
      <c r="E283" t="s">
        <v>15</v>
      </c>
      <c r="F283" t="s">
        <v>21</v>
      </c>
      <c r="G283" t="s">
        <v>33</v>
      </c>
      <c r="H283">
        <v>4</v>
      </c>
      <c r="I283">
        <v>176464</v>
      </c>
      <c r="J283">
        <v>150675.72864924799</v>
      </c>
      <c r="K283" t="str">
        <f>IF(AND(data_tab[[#This Row],[Revenue]]="",data_tab[[#This Row],[Cost]]=""),"Remove",IF(OR(data_tab[[#This Row],[Revenue]]="",data_tab[[#This Row],[Cost]]=""),"Flag","Valid"))</f>
        <v>Valid</v>
      </c>
      <c r="L283" t="str">
        <f>IF((COUNTIFS(data_tab[Revenue],data_tab[[#This Row],[Revenue]],data_tab[Cost],data_tab[[#This Row],[Cost]]))&gt;1,"Duplicate","Unique")</f>
        <v>Unique</v>
      </c>
      <c r="M283">
        <f>data_tab[[#This Row],[Revenue]]-data_tab[[#This Row],[Cost]]</f>
        <v>25788.271350752009</v>
      </c>
      <c r="N283" t="str">
        <f>IF(data_tab[[#This Row],[Revenue]]&lt;0,"Return","Sale")</f>
        <v>Sale</v>
      </c>
    </row>
    <row r="284" spans="1:14" hidden="1">
      <c r="A284" s="1">
        <v>46027</v>
      </c>
      <c r="B284">
        <f>MONTH(data_tab[[#This Row],[Order Date]])</f>
        <v>1</v>
      </c>
      <c r="C284">
        <f>YEAR(data_tab[[#This Row],[Order Date]])</f>
        <v>2026</v>
      </c>
      <c r="D284" t="s">
        <v>35</v>
      </c>
      <c r="E284" t="s">
        <v>32</v>
      </c>
      <c r="F284" t="s">
        <v>36</v>
      </c>
      <c r="G284" t="s">
        <v>26</v>
      </c>
      <c r="H284">
        <v>8</v>
      </c>
      <c r="I284">
        <v>196368</v>
      </c>
      <c r="J284">
        <v>169872.224158155</v>
      </c>
      <c r="K284" t="str">
        <f>IF(AND(data_tab[[#This Row],[Revenue]]="",data_tab[[#This Row],[Cost]]=""),"Remove",IF(OR(data_tab[[#This Row],[Revenue]]="",data_tab[[#This Row],[Cost]]=""),"Flag","Valid"))</f>
        <v>Valid</v>
      </c>
      <c r="L284" t="str">
        <f>IF((COUNTIFS(data_tab[Revenue],data_tab[[#This Row],[Revenue]],data_tab[Cost],data_tab[[#This Row],[Cost]]))&gt;1,"Duplicate","Unique")</f>
        <v>Unique</v>
      </c>
      <c r="M284">
        <f>data_tab[[#This Row],[Revenue]]-data_tab[[#This Row],[Cost]]</f>
        <v>26495.775841844996</v>
      </c>
      <c r="N284" t="str">
        <f>IF(data_tab[[#This Row],[Revenue]]&lt;0,"Return","Sale")</f>
        <v>Sale</v>
      </c>
    </row>
    <row r="285" spans="1:14" hidden="1">
      <c r="A285" s="1">
        <v>46104</v>
      </c>
      <c r="B285">
        <f>MONTH(data_tab[[#This Row],[Order Date]])</f>
        <v>3</v>
      </c>
      <c r="C285">
        <f>YEAR(data_tab[[#This Row],[Order Date]])</f>
        <v>2026</v>
      </c>
      <c r="D285" t="s">
        <v>23</v>
      </c>
      <c r="E285" t="s">
        <v>15</v>
      </c>
      <c r="F285" t="s">
        <v>16</v>
      </c>
      <c r="G285" t="s">
        <v>39</v>
      </c>
      <c r="H285">
        <v>8</v>
      </c>
      <c r="I285">
        <v>293568</v>
      </c>
      <c r="J285">
        <v>188756.34377431899</v>
      </c>
      <c r="K285" t="str">
        <f>IF(AND(data_tab[[#This Row],[Revenue]]="",data_tab[[#This Row],[Cost]]=""),"Remove",IF(OR(data_tab[[#This Row],[Revenue]]="",data_tab[[#This Row],[Cost]]=""),"Flag","Valid"))</f>
        <v>Valid</v>
      </c>
      <c r="L285" t="str">
        <f>IF((COUNTIFS(data_tab[Revenue],data_tab[[#This Row],[Revenue]],data_tab[Cost],data_tab[[#This Row],[Cost]]))&gt;1,"Duplicate","Unique")</f>
        <v>Unique</v>
      </c>
      <c r="M285">
        <f>data_tab[[#This Row],[Revenue]]-data_tab[[#This Row],[Cost]]</f>
        <v>104811.65622568101</v>
      </c>
      <c r="N285" t="str">
        <f>IF(data_tab[[#This Row],[Revenue]]&lt;0,"Return","Sale")</f>
        <v>Sale</v>
      </c>
    </row>
    <row r="286" spans="1:14" hidden="1">
      <c r="A286" s="1">
        <v>46086</v>
      </c>
      <c r="B286">
        <f>MONTH(data_tab[[#This Row],[Order Date]])</f>
        <v>3</v>
      </c>
      <c r="C286">
        <f>YEAR(data_tab[[#This Row],[Order Date]])</f>
        <v>2026</v>
      </c>
      <c r="D286" t="s">
        <v>23</v>
      </c>
      <c r="E286" t="s">
        <v>15</v>
      </c>
      <c r="F286" t="s">
        <v>24</v>
      </c>
      <c r="G286" t="s">
        <v>17</v>
      </c>
      <c r="H286">
        <v>10</v>
      </c>
      <c r="I286">
        <v>274550</v>
      </c>
      <c r="J286">
        <v>176239.644967945</v>
      </c>
      <c r="K286" t="str">
        <f>IF(AND(data_tab[[#This Row],[Revenue]]="",data_tab[[#This Row],[Cost]]=""),"Remove",IF(OR(data_tab[[#This Row],[Revenue]]="",data_tab[[#This Row],[Cost]]=""),"Flag","Valid"))</f>
        <v>Valid</v>
      </c>
      <c r="L286" t="str">
        <f>IF((COUNTIFS(data_tab[Revenue],data_tab[[#This Row],[Revenue]],data_tab[Cost],data_tab[[#This Row],[Cost]]))&gt;1,"Duplicate","Unique")</f>
        <v>Unique</v>
      </c>
      <c r="M286">
        <f>data_tab[[#This Row],[Revenue]]-data_tab[[#This Row],[Cost]]</f>
        <v>98310.355032054998</v>
      </c>
      <c r="N286" t="str">
        <f>IF(data_tab[[#This Row],[Revenue]]&lt;0,"Return","Sale")</f>
        <v>Sale</v>
      </c>
    </row>
    <row r="287" spans="1:14" hidden="1">
      <c r="A287" s="1">
        <v>46174</v>
      </c>
      <c r="B287">
        <f>MONTH(data_tab[[#This Row],[Order Date]])</f>
        <v>6</v>
      </c>
      <c r="C287">
        <f>YEAR(data_tab[[#This Row],[Order Date]])</f>
        <v>2026</v>
      </c>
      <c r="D287" t="s">
        <v>35</v>
      </c>
      <c r="E287" t="s">
        <v>32</v>
      </c>
      <c r="F287" t="s">
        <v>24</v>
      </c>
      <c r="G287" t="s">
        <v>41</v>
      </c>
      <c r="H287">
        <v>6</v>
      </c>
      <c r="I287">
        <v>235206</v>
      </c>
      <c r="J287">
        <v>170628.450932131</v>
      </c>
      <c r="K287" t="str">
        <f>IF(AND(data_tab[[#This Row],[Revenue]]="",data_tab[[#This Row],[Cost]]=""),"Remove",IF(OR(data_tab[[#This Row],[Revenue]]="",data_tab[[#This Row],[Cost]]=""),"Flag","Valid"))</f>
        <v>Valid</v>
      </c>
      <c r="L287" t="str">
        <f>IF((COUNTIFS(data_tab[Revenue],data_tab[[#This Row],[Revenue]],data_tab[Cost],data_tab[[#This Row],[Cost]]))&gt;1,"Duplicate","Unique")</f>
        <v>Unique</v>
      </c>
      <c r="M287">
        <f>data_tab[[#This Row],[Revenue]]-data_tab[[#This Row],[Cost]]</f>
        <v>64577.549067868997</v>
      </c>
      <c r="N287" t="str">
        <f>IF(data_tab[[#This Row],[Revenue]]&lt;0,"Return","Sale")</f>
        <v>Sale</v>
      </c>
    </row>
    <row r="288" spans="1:14">
      <c r="A288" s="1">
        <v>46149</v>
      </c>
      <c r="B288">
        <f>MONTH(data_tab[[#This Row],[Order Date]])</f>
        <v>5</v>
      </c>
      <c r="C288">
        <f>YEAR(data_tab[[#This Row],[Order Date]])</f>
        <v>2026</v>
      </c>
      <c r="D288" t="s">
        <v>20</v>
      </c>
      <c r="E288" t="s">
        <v>15</v>
      </c>
      <c r="F288" t="s">
        <v>24</v>
      </c>
      <c r="G288" t="s">
        <v>39</v>
      </c>
      <c r="H288">
        <v>4</v>
      </c>
      <c r="I288">
        <v>165720</v>
      </c>
      <c r="K288" t="str">
        <f>IF(AND(data_tab[[#This Row],[Revenue]]="",data_tab[[#This Row],[Cost]]=""),"Remove",IF(OR(data_tab[[#This Row],[Revenue]]="",data_tab[[#This Row],[Cost]]=""),"Flag","Valid"))</f>
        <v>Flag</v>
      </c>
      <c r="L288" t="str">
        <f>IF((COUNTIFS(data_tab[Revenue],data_tab[[#This Row],[Revenue]],data_tab[Cost],data_tab[[#This Row],[Cost]]))&gt;1,"Duplicate","Unique")</f>
        <v>Unique</v>
      </c>
      <c r="M288">
        <f>data_tab[[#This Row],[Revenue]]-data_tab[[#This Row],[Cost]]</f>
        <v>165720</v>
      </c>
      <c r="N288" t="str">
        <f>IF(data_tab[[#This Row],[Revenue]]&lt;0,"Return","Sale")</f>
        <v>Sale</v>
      </c>
    </row>
    <row r="289" spans="1:14" hidden="1">
      <c r="A289" s="1">
        <v>46074</v>
      </c>
      <c r="B289">
        <f>MONTH(data_tab[[#This Row],[Order Date]])</f>
        <v>2</v>
      </c>
      <c r="C289">
        <f>YEAR(data_tab[[#This Row],[Order Date]])</f>
        <v>2026</v>
      </c>
      <c r="D289" t="s">
        <v>31</v>
      </c>
      <c r="E289" t="s">
        <v>32</v>
      </c>
      <c r="F289" t="s">
        <v>16</v>
      </c>
      <c r="G289" t="s">
        <v>39</v>
      </c>
      <c r="H289">
        <v>1</v>
      </c>
      <c r="I289">
        <v>11680</v>
      </c>
      <c r="J289">
        <v>8580.6380660261293</v>
      </c>
      <c r="K289" t="str">
        <f>IF(AND(data_tab[[#This Row],[Revenue]]="",data_tab[[#This Row],[Cost]]=""),"Remove",IF(OR(data_tab[[#This Row],[Revenue]]="",data_tab[[#This Row],[Cost]]=""),"Flag","Valid"))</f>
        <v>Valid</v>
      </c>
      <c r="L289" t="str">
        <f>IF((COUNTIFS(data_tab[Revenue],data_tab[[#This Row],[Revenue]],data_tab[Cost],data_tab[[#This Row],[Cost]]))&gt;1,"Duplicate","Unique")</f>
        <v>Unique</v>
      </c>
      <c r="M289">
        <f>data_tab[[#This Row],[Revenue]]-data_tab[[#This Row],[Cost]]</f>
        <v>3099.3619339738707</v>
      </c>
      <c r="N289" t="str">
        <f>IF(data_tab[[#This Row],[Revenue]]&lt;0,"Return","Sale")</f>
        <v>Sale</v>
      </c>
    </row>
    <row r="290" spans="1:14" hidden="1">
      <c r="A290" s="1">
        <v>46116</v>
      </c>
      <c r="B290">
        <f>MONTH(data_tab[[#This Row],[Order Date]])</f>
        <v>4</v>
      </c>
      <c r="C290">
        <f>YEAR(data_tab[[#This Row],[Order Date]])</f>
        <v>2026</v>
      </c>
      <c r="D290" t="s">
        <v>14</v>
      </c>
      <c r="E290" t="s">
        <v>15</v>
      </c>
      <c r="F290" t="s">
        <v>36</v>
      </c>
      <c r="G290" t="s">
        <v>26</v>
      </c>
      <c r="H290">
        <v>2</v>
      </c>
      <c r="I290">
        <v>48112</v>
      </c>
      <c r="J290">
        <v>29863.4100304159</v>
      </c>
      <c r="K290" t="str">
        <f>IF(AND(data_tab[[#This Row],[Revenue]]="",data_tab[[#This Row],[Cost]]=""),"Remove",IF(OR(data_tab[[#This Row],[Revenue]]="",data_tab[[#This Row],[Cost]]=""),"Flag","Valid"))</f>
        <v>Valid</v>
      </c>
      <c r="L290" t="str">
        <f>IF((COUNTIFS(data_tab[Revenue],data_tab[[#This Row],[Revenue]],data_tab[Cost],data_tab[[#This Row],[Cost]]))&gt;1,"Duplicate","Unique")</f>
        <v>Unique</v>
      </c>
      <c r="M290">
        <f>data_tab[[#This Row],[Revenue]]-data_tab[[#This Row],[Cost]]</f>
        <v>18248.5899695841</v>
      </c>
      <c r="N290" t="str">
        <f>IF(data_tab[[#This Row],[Revenue]]&lt;0,"Return","Sale")</f>
        <v>Sale</v>
      </c>
    </row>
    <row r="291" spans="1:14" hidden="1">
      <c r="A291" s="1">
        <v>46186</v>
      </c>
      <c r="B291">
        <f>MONTH(data_tab[[#This Row],[Order Date]])</f>
        <v>6</v>
      </c>
      <c r="C291">
        <f>YEAR(data_tab[[#This Row],[Order Date]])</f>
        <v>2026</v>
      </c>
      <c r="D291" t="s">
        <v>31</v>
      </c>
      <c r="E291" t="s">
        <v>32</v>
      </c>
      <c r="F291" t="s">
        <v>16</v>
      </c>
      <c r="G291" t="s">
        <v>17</v>
      </c>
      <c r="H291">
        <v>10</v>
      </c>
      <c r="I291">
        <v>134910</v>
      </c>
      <c r="J291">
        <v>87874.120012055399</v>
      </c>
      <c r="K291" t="str">
        <f>IF(AND(data_tab[[#This Row],[Revenue]]="",data_tab[[#This Row],[Cost]]=""),"Remove",IF(OR(data_tab[[#This Row],[Revenue]]="",data_tab[[#This Row],[Cost]]=""),"Flag","Valid"))</f>
        <v>Valid</v>
      </c>
      <c r="L291" t="str">
        <f>IF((COUNTIFS(data_tab[Revenue],data_tab[[#This Row],[Revenue]],data_tab[Cost],data_tab[[#This Row],[Cost]]))&gt;1,"Duplicate","Unique")</f>
        <v>Unique</v>
      </c>
      <c r="M291">
        <f>data_tab[[#This Row],[Revenue]]-data_tab[[#This Row],[Cost]]</f>
        <v>47035.879987944601</v>
      </c>
      <c r="N291" t="str">
        <f>IF(data_tab[[#This Row],[Revenue]]&lt;0,"Return","Sale")</f>
        <v>Sale</v>
      </c>
    </row>
    <row r="292" spans="1:14" hidden="1">
      <c r="A292" s="1">
        <v>46023</v>
      </c>
      <c r="B292">
        <f>MONTH(data_tab[[#This Row],[Order Date]])</f>
        <v>1</v>
      </c>
      <c r="C292">
        <f>YEAR(data_tab[[#This Row],[Order Date]])</f>
        <v>2026</v>
      </c>
      <c r="D292" t="s">
        <v>29</v>
      </c>
      <c r="E292" t="s">
        <v>15</v>
      </c>
      <c r="F292" t="s">
        <v>24</v>
      </c>
      <c r="G292" t="s">
        <v>17</v>
      </c>
      <c r="H292">
        <v>10</v>
      </c>
      <c r="I292">
        <v>228540</v>
      </c>
      <c r="J292">
        <v>198467.62959207501</v>
      </c>
      <c r="K292" t="str">
        <f>IF(AND(data_tab[[#This Row],[Revenue]]="",data_tab[[#This Row],[Cost]]=""),"Remove",IF(OR(data_tab[[#This Row],[Revenue]]="",data_tab[[#This Row],[Cost]]=""),"Flag","Valid"))</f>
        <v>Valid</v>
      </c>
      <c r="L292" t="str">
        <f>IF((COUNTIFS(data_tab[Revenue],data_tab[[#This Row],[Revenue]],data_tab[Cost],data_tab[[#This Row],[Cost]]))&gt;1,"Duplicate","Unique")</f>
        <v>Unique</v>
      </c>
      <c r="M292">
        <f>data_tab[[#This Row],[Revenue]]-data_tab[[#This Row],[Cost]]</f>
        <v>30072.370407924987</v>
      </c>
      <c r="N292" t="str">
        <f>IF(data_tab[[#This Row],[Revenue]]&lt;0,"Return","Sale")</f>
        <v>Sale</v>
      </c>
    </row>
    <row r="293" spans="1:14" hidden="1">
      <c r="A293" s="1">
        <v>46239</v>
      </c>
      <c r="B293">
        <f>MONTH(data_tab[[#This Row],[Order Date]])</f>
        <v>8</v>
      </c>
      <c r="C293">
        <f>YEAR(data_tab[[#This Row],[Order Date]])</f>
        <v>2026</v>
      </c>
      <c r="D293" t="s">
        <v>14</v>
      </c>
      <c r="E293" t="s">
        <v>15</v>
      </c>
      <c r="F293" t="s">
        <v>24</v>
      </c>
      <c r="G293" t="s">
        <v>17</v>
      </c>
      <c r="H293">
        <v>6</v>
      </c>
      <c r="I293">
        <v>137634</v>
      </c>
      <c r="J293">
        <v>78059.806686875003</v>
      </c>
      <c r="K293" t="str">
        <f>IF(AND(data_tab[[#This Row],[Revenue]]="",data_tab[[#This Row],[Cost]]=""),"Remove",IF(OR(data_tab[[#This Row],[Revenue]]="",data_tab[[#This Row],[Cost]]=""),"Flag","Valid"))</f>
        <v>Valid</v>
      </c>
      <c r="L293" t="str">
        <f>IF((COUNTIFS(data_tab[Revenue],data_tab[[#This Row],[Revenue]],data_tab[Cost],data_tab[[#This Row],[Cost]]))&gt;1,"Duplicate","Unique")</f>
        <v>Unique</v>
      </c>
      <c r="M293">
        <f>data_tab[[#This Row],[Revenue]]-data_tab[[#This Row],[Cost]]</f>
        <v>59574.193313124997</v>
      </c>
      <c r="N293" t="str">
        <f>IF(data_tab[[#This Row],[Revenue]]&lt;0,"Return","Sale")</f>
        <v>Sale</v>
      </c>
    </row>
    <row r="294" spans="1:14" hidden="1">
      <c r="A294" s="1">
        <v>46186</v>
      </c>
      <c r="B294">
        <f>MONTH(data_tab[[#This Row],[Order Date]])</f>
        <v>6</v>
      </c>
      <c r="C294">
        <f>YEAR(data_tab[[#This Row],[Order Date]])</f>
        <v>2026</v>
      </c>
      <c r="D294" t="s">
        <v>20</v>
      </c>
      <c r="E294" t="s">
        <v>15</v>
      </c>
      <c r="F294" t="s">
        <v>16</v>
      </c>
      <c r="G294" t="s">
        <v>17</v>
      </c>
      <c r="H294">
        <v>4</v>
      </c>
      <c r="I294">
        <v>-189708</v>
      </c>
      <c r="J294">
        <v>99998.484854570197</v>
      </c>
      <c r="K294" t="str">
        <f>IF(AND(data_tab[[#This Row],[Revenue]]="",data_tab[[#This Row],[Cost]]=""),"Remove",IF(OR(data_tab[[#This Row],[Revenue]]="",data_tab[[#This Row],[Cost]]=""),"Flag","Valid"))</f>
        <v>Valid</v>
      </c>
      <c r="L294" t="str">
        <f>IF((COUNTIFS(data_tab[Revenue],data_tab[[#This Row],[Revenue]],data_tab[Cost],data_tab[[#This Row],[Cost]]))&gt;1,"Duplicate","Unique")</f>
        <v>Unique</v>
      </c>
      <c r="M294">
        <f>data_tab[[#This Row],[Revenue]]-data_tab[[#This Row],[Cost]]</f>
        <v>-289706.48485457018</v>
      </c>
      <c r="N294" t="str">
        <f>IF(data_tab[[#This Row],[Revenue]]&lt;0,"Return","Sale")</f>
        <v>Return</v>
      </c>
    </row>
    <row r="295" spans="1:14" hidden="1">
      <c r="A295" s="1">
        <v>46121</v>
      </c>
      <c r="B295">
        <f>MONTH(data_tab[[#This Row],[Order Date]])</f>
        <v>4</v>
      </c>
      <c r="C295">
        <f>YEAR(data_tab[[#This Row],[Order Date]])</f>
        <v>2026</v>
      </c>
      <c r="D295" t="s">
        <v>31</v>
      </c>
      <c r="E295" t="s">
        <v>32</v>
      </c>
      <c r="F295" t="s">
        <v>36</v>
      </c>
      <c r="G295" t="s">
        <v>33</v>
      </c>
      <c r="H295">
        <v>7</v>
      </c>
      <c r="I295">
        <v>175126</v>
      </c>
      <c r="J295">
        <v>125812.197345462</v>
      </c>
      <c r="K295" t="str">
        <f>IF(AND(data_tab[[#This Row],[Revenue]]="",data_tab[[#This Row],[Cost]]=""),"Remove",IF(OR(data_tab[[#This Row],[Revenue]]="",data_tab[[#This Row],[Cost]]=""),"Flag","Valid"))</f>
        <v>Valid</v>
      </c>
      <c r="L295" t="str">
        <f>IF((COUNTIFS(data_tab[Revenue],data_tab[[#This Row],[Revenue]],data_tab[Cost],data_tab[[#This Row],[Cost]]))&gt;1,"Duplicate","Unique")</f>
        <v>Unique</v>
      </c>
      <c r="M295">
        <f>data_tab[[#This Row],[Revenue]]-data_tab[[#This Row],[Cost]]</f>
        <v>49313.802654537998</v>
      </c>
      <c r="N295" t="str">
        <f>IF(data_tab[[#This Row],[Revenue]]&lt;0,"Return","Sale")</f>
        <v>Sale</v>
      </c>
    </row>
    <row r="296" spans="1:14" hidden="1">
      <c r="A296" s="1">
        <v>46189</v>
      </c>
      <c r="B296">
        <f>MONTH(data_tab[[#This Row],[Order Date]])</f>
        <v>6</v>
      </c>
      <c r="C296">
        <f>YEAR(data_tab[[#This Row],[Order Date]])</f>
        <v>2026</v>
      </c>
      <c r="D296" t="s">
        <v>29</v>
      </c>
      <c r="E296" t="s">
        <v>15</v>
      </c>
      <c r="F296" t="s">
        <v>24</v>
      </c>
      <c r="G296" t="s">
        <v>39</v>
      </c>
      <c r="H296">
        <v>5</v>
      </c>
      <c r="I296">
        <v>16575</v>
      </c>
      <c r="J296">
        <v>10400.593099752599</v>
      </c>
      <c r="K296" t="str">
        <f>IF(AND(data_tab[[#This Row],[Revenue]]="",data_tab[[#This Row],[Cost]]=""),"Remove",IF(OR(data_tab[[#This Row],[Revenue]]="",data_tab[[#This Row],[Cost]]=""),"Flag","Valid"))</f>
        <v>Valid</v>
      </c>
      <c r="L296" t="str">
        <f>IF((COUNTIFS(data_tab[Revenue],data_tab[[#This Row],[Revenue]],data_tab[Cost],data_tab[[#This Row],[Cost]]))&gt;1,"Duplicate","Unique")</f>
        <v>Unique</v>
      </c>
      <c r="M296">
        <f>data_tab[[#This Row],[Revenue]]-data_tab[[#This Row],[Cost]]</f>
        <v>6174.4069002474007</v>
      </c>
      <c r="N296" t="str">
        <f>IF(data_tab[[#This Row],[Revenue]]&lt;0,"Return","Sale")</f>
        <v>Sale</v>
      </c>
    </row>
    <row r="297" spans="1:14" hidden="1">
      <c r="A297" s="1">
        <v>46207</v>
      </c>
      <c r="B297">
        <f>MONTH(data_tab[[#This Row],[Order Date]])</f>
        <v>7</v>
      </c>
      <c r="C297">
        <f>YEAR(data_tab[[#This Row],[Order Date]])</f>
        <v>2026</v>
      </c>
      <c r="D297" t="s">
        <v>20</v>
      </c>
      <c r="E297" t="s">
        <v>15</v>
      </c>
      <c r="F297" t="s">
        <v>24</v>
      </c>
      <c r="G297" t="s">
        <v>37</v>
      </c>
      <c r="H297">
        <v>10</v>
      </c>
      <c r="I297">
        <v>422150</v>
      </c>
      <c r="J297">
        <v>361905.17151307198</v>
      </c>
      <c r="K297" t="str">
        <f>IF(AND(data_tab[[#This Row],[Revenue]]="",data_tab[[#This Row],[Cost]]=""),"Remove",IF(OR(data_tab[[#This Row],[Revenue]]="",data_tab[[#This Row],[Cost]]=""),"Flag","Valid"))</f>
        <v>Valid</v>
      </c>
      <c r="L297" t="str">
        <f>IF((COUNTIFS(data_tab[Revenue],data_tab[[#This Row],[Revenue]],data_tab[Cost],data_tab[[#This Row],[Cost]]))&gt;1,"Duplicate","Unique")</f>
        <v>Unique</v>
      </c>
      <c r="M297">
        <f>data_tab[[#This Row],[Revenue]]-data_tab[[#This Row],[Cost]]</f>
        <v>60244.828486928018</v>
      </c>
      <c r="N297" t="str">
        <f>IF(data_tab[[#This Row],[Revenue]]&lt;0,"Return","Sale")</f>
        <v>Sale</v>
      </c>
    </row>
    <row r="298" spans="1:14" hidden="1">
      <c r="A298" s="1">
        <v>46178</v>
      </c>
      <c r="B298">
        <f>MONTH(data_tab[[#This Row],[Order Date]])</f>
        <v>6</v>
      </c>
      <c r="C298">
        <f>YEAR(data_tab[[#This Row],[Order Date]])</f>
        <v>2026</v>
      </c>
      <c r="D298" t="s">
        <v>20</v>
      </c>
      <c r="E298" t="s">
        <v>15</v>
      </c>
      <c r="F298" t="s">
        <v>16</v>
      </c>
      <c r="G298" t="s">
        <v>17</v>
      </c>
      <c r="H298">
        <v>4</v>
      </c>
      <c r="I298">
        <v>115288</v>
      </c>
      <c r="J298">
        <v>89795.365435416999</v>
      </c>
      <c r="K298" t="str">
        <f>IF(AND(data_tab[[#This Row],[Revenue]]="",data_tab[[#This Row],[Cost]]=""),"Remove",IF(OR(data_tab[[#This Row],[Revenue]]="",data_tab[[#This Row],[Cost]]=""),"Flag","Valid"))</f>
        <v>Valid</v>
      </c>
      <c r="L298" t="str">
        <f>IF((COUNTIFS(data_tab[Revenue],data_tab[[#This Row],[Revenue]],data_tab[Cost],data_tab[[#This Row],[Cost]]))&gt;1,"Duplicate","Unique")</f>
        <v>Unique</v>
      </c>
      <c r="M298">
        <f>data_tab[[#This Row],[Revenue]]-data_tab[[#This Row],[Cost]]</f>
        <v>25492.634564583001</v>
      </c>
      <c r="N298" t="str">
        <f>IF(data_tab[[#This Row],[Revenue]]&lt;0,"Return","Sale")</f>
        <v>Sale</v>
      </c>
    </row>
    <row r="299" spans="1:14" hidden="1">
      <c r="A299" s="1">
        <v>46095</v>
      </c>
      <c r="B299">
        <f>MONTH(data_tab[[#This Row],[Order Date]])</f>
        <v>3</v>
      </c>
      <c r="C299">
        <f>YEAR(data_tab[[#This Row],[Order Date]])</f>
        <v>2026</v>
      </c>
      <c r="D299" t="s">
        <v>29</v>
      </c>
      <c r="E299" t="s">
        <v>15</v>
      </c>
      <c r="F299" t="s">
        <v>36</v>
      </c>
      <c r="G299" t="s">
        <v>17</v>
      </c>
      <c r="H299">
        <v>1</v>
      </c>
      <c r="I299">
        <v>25647</v>
      </c>
      <c r="J299">
        <v>12862.6431917721</v>
      </c>
      <c r="K299" t="str">
        <f>IF(AND(data_tab[[#This Row],[Revenue]]="",data_tab[[#This Row],[Cost]]=""),"Remove",IF(OR(data_tab[[#This Row],[Revenue]]="",data_tab[[#This Row],[Cost]]=""),"Flag","Valid"))</f>
        <v>Valid</v>
      </c>
      <c r="L299" t="str">
        <f>IF((COUNTIFS(data_tab[Revenue],data_tab[[#This Row],[Revenue]],data_tab[Cost],data_tab[[#This Row],[Cost]]))&gt;1,"Duplicate","Unique")</f>
        <v>Unique</v>
      </c>
      <c r="M299">
        <f>data_tab[[#This Row],[Revenue]]-data_tab[[#This Row],[Cost]]</f>
        <v>12784.3568082279</v>
      </c>
      <c r="N299" t="str">
        <f>IF(data_tab[[#This Row],[Revenue]]&lt;0,"Return","Sale")</f>
        <v>Sale</v>
      </c>
    </row>
    <row r="300" spans="1:14" hidden="1">
      <c r="A300" s="1">
        <v>46086</v>
      </c>
      <c r="B300">
        <f>MONTH(data_tab[[#This Row],[Order Date]])</f>
        <v>3</v>
      </c>
      <c r="C300">
        <f>YEAR(data_tab[[#This Row],[Order Date]])</f>
        <v>2026</v>
      </c>
      <c r="D300" t="s">
        <v>20</v>
      </c>
      <c r="E300" t="s">
        <v>15</v>
      </c>
      <c r="F300" t="s">
        <v>21</v>
      </c>
      <c r="G300" t="s">
        <v>17</v>
      </c>
      <c r="H300">
        <v>5</v>
      </c>
      <c r="I300">
        <v>36845</v>
      </c>
      <c r="J300">
        <v>25401.984256531799</v>
      </c>
      <c r="K300" t="str">
        <f>IF(AND(data_tab[[#This Row],[Revenue]]="",data_tab[[#This Row],[Cost]]=""),"Remove",IF(OR(data_tab[[#This Row],[Revenue]]="",data_tab[[#This Row],[Cost]]=""),"Flag","Valid"))</f>
        <v>Valid</v>
      </c>
      <c r="L300" t="str">
        <f>IF((COUNTIFS(data_tab[Revenue],data_tab[[#This Row],[Revenue]],data_tab[Cost],data_tab[[#This Row],[Cost]]))&gt;1,"Duplicate","Unique")</f>
        <v>Unique</v>
      </c>
      <c r="M300">
        <f>data_tab[[#This Row],[Revenue]]-data_tab[[#This Row],[Cost]]</f>
        <v>11443.015743468201</v>
      </c>
      <c r="N300" t="str">
        <f>IF(data_tab[[#This Row],[Revenue]]&lt;0,"Return","Sale")</f>
        <v>Sale</v>
      </c>
    </row>
    <row r="301" spans="1:14" hidden="1">
      <c r="A301" s="1">
        <v>46192</v>
      </c>
      <c r="B301">
        <f>MONTH(data_tab[[#This Row],[Order Date]])</f>
        <v>6</v>
      </c>
      <c r="C301">
        <f>YEAR(data_tab[[#This Row],[Order Date]])</f>
        <v>2026</v>
      </c>
      <c r="D301" t="s">
        <v>29</v>
      </c>
      <c r="E301" t="s">
        <v>15</v>
      </c>
      <c r="F301" t="s">
        <v>21</v>
      </c>
      <c r="G301" t="s">
        <v>37</v>
      </c>
      <c r="H301">
        <v>7</v>
      </c>
      <c r="J301">
        <v>105423.92645346301</v>
      </c>
      <c r="K301" t="str">
        <f>IF(AND(data_tab[[#This Row],[Revenue]]="",data_tab[[#This Row],[Cost]]=""),"Remove",IF(OR(data_tab[[#This Row],[Revenue]]="",data_tab[[#This Row],[Cost]]=""),"Flag","Valid"))</f>
        <v>Flag</v>
      </c>
      <c r="L301" t="str">
        <f>IF((COUNTIFS(data_tab[Revenue],data_tab[[#This Row],[Revenue]],data_tab[Cost],data_tab[[#This Row],[Cost]]))&gt;1,"Duplicate","Unique")</f>
        <v>Unique</v>
      </c>
      <c r="M301">
        <f>data_tab[[#This Row],[Revenue]]-data_tab[[#This Row],[Cost]]</f>
        <v>-105423.92645346301</v>
      </c>
      <c r="N301" t="str">
        <f>IF(data_tab[[#This Row],[Revenue]]&lt;0,"Return","Sale")</f>
        <v>Sale</v>
      </c>
    </row>
    <row r="302" spans="1:14" hidden="1">
      <c r="A302" s="1">
        <v>46091</v>
      </c>
      <c r="B302">
        <f>MONTH(data_tab[[#This Row],[Order Date]])</f>
        <v>3</v>
      </c>
      <c r="C302">
        <f>YEAR(data_tab[[#This Row],[Order Date]])</f>
        <v>2026</v>
      </c>
      <c r="D302" t="s">
        <v>14</v>
      </c>
      <c r="E302" t="s">
        <v>15</v>
      </c>
      <c r="F302" t="s">
        <v>24</v>
      </c>
      <c r="G302" t="s">
        <v>39</v>
      </c>
      <c r="H302">
        <v>6</v>
      </c>
      <c r="I302">
        <v>224904</v>
      </c>
      <c r="J302">
        <v>149694.90167094301</v>
      </c>
      <c r="K302" t="str">
        <f>IF(AND(data_tab[[#This Row],[Revenue]]="",data_tab[[#This Row],[Cost]]=""),"Remove",IF(OR(data_tab[[#This Row],[Revenue]]="",data_tab[[#This Row],[Cost]]=""),"Flag","Valid"))</f>
        <v>Valid</v>
      </c>
      <c r="L302" t="str">
        <f>IF((COUNTIFS(data_tab[Revenue],data_tab[[#This Row],[Revenue]],data_tab[Cost],data_tab[[#This Row],[Cost]]))&gt;1,"Duplicate","Unique")</f>
        <v>Unique</v>
      </c>
      <c r="M302">
        <f>data_tab[[#This Row],[Revenue]]-data_tab[[#This Row],[Cost]]</f>
        <v>75209.098329056986</v>
      </c>
      <c r="N302" t="str">
        <f>IF(data_tab[[#This Row],[Revenue]]&lt;0,"Return","Sale")</f>
        <v>Sale</v>
      </c>
    </row>
    <row r="303" spans="1:14" hidden="1">
      <c r="A303" s="1">
        <v>46122</v>
      </c>
      <c r="B303">
        <f>MONTH(data_tab[[#This Row],[Order Date]])</f>
        <v>4</v>
      </c>
      <c r="C303">
        <f>YEAR(data_tab[[#This Row],[Order Date]])</f>
        <v>2026</v>
      </c>
      <c r="D303" t="s">
        <v>40</v>
      </c>
      <c r="E303" t="s">
        <v>15</v>
      </c>
      <c r="F303" t="s">
        <v>36</v>
      </c>
      <c r="G303" t="s">
        <v>26</v>
      </c>
      <c r="H303">
        <v>4</v>
      </c>
      <c r="I303">
        <v>132848</v>
      </c>
      <c r="J303">
        <v>82304.761990955507</v>
      </c>
      <c r="K303" t="str">
        <f>IF(AND(data_tab[[#This Row],[Revenue]]="",data_tab[[#This Row],[Cost]]=""),"Remove",IF(OR(data_tab[[#This Row],[Revenue]]="",data_tab[[#This Row],[Cost]]=""),"Flag","Valid"))</f>
        <v>Valid</v>
      </c>
      <c r="L303" t="str">
        <f>IF((COUNTIFS(data_tab[Revenue],data_tab[[#This Row],[Revenue]],data_tab[Cost],data_tab[[#This Row],[Cost]]))&gt;1,"Duplicate","Unique")</f>
        <v>Unique</v>
      </c>
      <c r="M303">
        <f>data_tab[[#This Row],[Revenue]]-data_tab[[#This Row],[Cost]]</f>
        <v>50543.238009044493</v>
      </c>
      <c r="N303" t="str">
        <f>IF(data_tab[[#This Row],[Revenue]]&lt;0,"Return","Sale")</f>
        <v>Sale</v>
      </c>
    </row>
    <row r="304" spans="1:14">
      <c r="A304" s="1">
        <v>46169</v>
      </c>
      <c r="B304">
        <f>MONTH(data_tab[[#This Row],[Order Date]])</f>
        <v>5</v>
      </c>
      <c r="C304">
        <f>YEAR(data_tab[[#This Row],[Order Date]])</f>
        <v>2026</v>
      </c>
      <c r="D304" t="s">
        <v>14</v>
      </c>
      <c r="E304" t="s">
        <v>15</v>
      </c>
      <c r="F304" t="s">
        <v>21</v>
      </c>
      <c r="G304" t="s">
        <v>39</v>
      </c>
      <c r="H304">
        <v>8</v>
      </c>
      <c r="I304">
        <v>106632</v>
      </c>
      <c r="J304">
        <v>93796.129623309098</v>
      </c>
      <c r="K304" t="str">
        <f>IF(AND(data_tab[[#This Row],[Revenue]]="",data_tab[[#This Row],[Cost]]=""),"Remove",IF(OR(data_tab[[#This Row],[Revenue]]="",data_tab[[#This Row],[Cost]]=""),"Flag","Valid"))</f>
        <v>Valid</v>
      </c>
      <c r="L304" t="str">
        <f>IF((COUNTIFS(data_tab[Revenue],data_tab[[#This Row],[Revenue]],data_tab[Cost],data_tab[[#This Row],[Cost]]))&gt;1,"Duplicate","Unique")</f>
        <v>Unique</v>
      </c>
      <c r="M304">
        <f>data_tab[[#This Row],[Revenue]]-data_tab[[#This Row],[Cost]]</f>
        <v>12835.870376690902</v>
      </c>
      <c r="N304" t="str">
        <f>IF(data_tab[[#This Row],[Revenue]]&lt;0,"Return","Sale")</f>
        <v>Sale</v>
      </c>
    </row>
    <row r="305" spans="1:14" hidden="1">
      <c r="A305" s="1">
        <v>46033</v>
      </c>
      <c r="B305">
        <f>MONTH(data_tab[[#This Row],[Order Date]])</f>
        <v>1</v>
      </c>
      <c r="C305">
        <f>YEAR(data_tab[[#This Row],[Order Date]])</f>
        <v>2026</v>
      </c>
      <c r="D305" t="s">
        <v>29</v>
      </c>
      <c r="E305" t="s">
        <v>15</v>
      </c>
      <c r="F305" t="s">
        <v>21</v>
      </c>
      <c r="G305" t="s">
        <v>41</v>
      </c>
      <c r="H305">
        <v>3</v>
      </c>
      <c r="I305">
        <v>122991</v>
      </c>
      <c r="J305">
        <v>74182.580520502597</v>
      </c>
      <c r="K305" t="str">
        <f>IF(AND(data_tab[[#This Row],[Revenue]]="",data_tab[[#This Row],[Cost]]=""),"Remove",IF(OR(data_tab[[#This Row],[Revenue]]="",data_tab[[#This Row],[Cost]]=""),"Flag","Valid"))</f>
        <v>Valid</v>
      </c>
      <c r="L305" t="str">
        <f>IF((COUNTIFS(data_tab[Revenue],data_tab[[#This Row],[Revenue]],data_tab[Cost],data_tab[[#This Row],[Cost]]))&gt;1,"Duplicate","Unique")</f>
        <v>Unique</v>
      </c>
      <c r="M305">
        <f>data_tab[[#This Row],[Revenue]]-data_tab[[#This Row],[Cost]]</f>
        <v>48808.419479497403</v>
      </c>
      <c r="N305" t="str">
        <f>IF(data_tab[[#This Row],[Revenue]]&lt;0,"Return","Sale")</f>
        <v>Sale</v>
      </c>
    </row>
    <row r="306" spans="1:14" hidden="1">
      <c r="A306" s="1">
        <v>46122</v>
      </c>
      <c r="B306">
        <f>MONTH(data_tab[[#This Row],[Order Date]])</f>
        <v>4</v>
      </c>
      <c r="C306">
        <f>YEAR(data_tab[[#This Row],[Order Date]])</f>
        <v>2026</v>
      </c>
      <c r="D306" t="s">
        <v>23</v>
      </c>
      <c r="E306" t="s">
        <v>15</v>
      </c>
      <c r="F306" t="s">
        <v>16</v>
      </c>
      <c r="G306" t="s">
        <v>26</v>
      </c>
      <c r="H306">
        <v>8</v>
      </c>
      <c r="I306">
        <v>22480</v>
      </c>
      <c r="J306">
        <v>18312.6633443393</v>
      </c>
      <c r="K306" t="str">
        <f>IF(AND(data_tab[[#This Row],[Revenue]]="",data_tab[[#This Row],[Cost]]=""),"Remove",IF(OR(data_tab[[#This Row],[Revenue]]="",data_tab[[#This Row],[Cost]]=""),"Flag","Valid"))</f>
        <v>Valid</v>
      </c>
      <c r="L306" t="str">
        <f>IF((COUNTIFS(data_tab[Revenue],data_tab[[#This Row],[Revenue]],data_tab[Cost],data_tab[[#This Row],[Cost]]))&gt;1,"Duplicate","Unique")</f>
        <v>Unique</v>
      </c>
      <c r="M306">
        <f>data_tab[[#This Row],[Revenue]]-data_tab[[#This Row],[Cost]]</f>
        <v>4167.3366556606998</v>
      </c>
      <c r="N306" t="str">
        <f>IF(data_tab[[#This Row],[Revenue]]&lt;0,"Return","Sale")</f>
        <v>Sale</v>
      </c>
    </row>
    <row r="307" spans="1:14" hidden="1">
      <c r="A307" s="1">
        <v>46129</v>
      </c>
      <c r="B307">
        <f>MONTH(data_tab[[#This Row],[Order Date]])</f>
        <v>4</v>
      </c>
      <c r="C307">
        <f>YEAR(data_tab[[#This Row],[Order Date]])</f>
        <v>2026</v>
      </c>
      <c r="D307" t="s">
        <v>40</v>
      </c>
      <c r="E307" t="s">
        <v>15</v>
      </c>
      <c r="F307" t="s">
        <v>24</v>
      </c>
      <c r="G307" t="s">
        <v>39</v>
      </c>
      <c r="H307">
        <v>10</v>
      </c>
      <c r="I307">
        <v>86180</v>
      </c>
      <c r="J307">
        <v>70176.223368035193</v>
      </c>
      <c r="K307" t="str">
        <f>IF(AND(data_tab[[#This Row],[Revenue]]="",data_tab[[#This Row],[Cost]]=""),"Remove",IF(OR(data_tab[[#This Row],[Revenue]]="",data_tab[[#This Row],[Cost]]=""),"Flag","Valid"))</f>
        <v>Valid</v>
      </c>
      <c r="L307" t="str">
        <f>IF((COUNTIFS(data_tab[Revenue],data_tab[[#This Row],[Revenue]],data_tab[Cost],data_tab[[#This Row],[Cost]]))&gt;1,"Duplicate","Unique")</f>
        <v>Unique</v>
      </c>
      <c r="M307">
        <f>data_tab[[#This Row],[Revenue]]-data_tab[[#This Row],[Cost]]</f>
        <v>16003.776631964807</v>
      </c>
      <c r="N307" t="str">
        <f>IF(data_tab[[#This Row],[Revenue]]&lt;0,"Return","Sale")</f>
        <v>Sale</v>
      </c>
    </row>
    <row r="308" spans="1:14" hidden="1">
      <c r="A308" s="1">
        <v>46090</v>
      </c>
      <c r="B308">
        <f>MONTH(data_tab[[#This Row],[Order Date]])</f>
        <v>3</v>
      </c>
      <c r="C308">
        <f>YEAR(data_tab[[#This Row],[Order Date]])</f>
        <v>2026</v>
      </c>
      <c r="D308" t="s">
        <v>40</v>
      </c>
      <c r="E308" t="s">
        <v>15</v>
      </c>
      <c r="F308" t="s">
        <v>36</v>
      </c>
      <c r="G308" t="s">
        <v>39</v>
      </c>
      <c r="H308">
        <v>3</v>
      </c>
      <c r="I308">
        <v>60147</v>
      </c>
      <c r="J308">
        <v>39768.569871113599</v>
      </c>
      <c r="K308" t="str">
        <f>IF(AND(data_tab[[#This Row],[Revenue]]="",data_tab[[#This Row],[Cost]]=""),"Remove",IF(OR(data_tab[[#This Row],[Revenue]]="",data_tab[[#This Row],[Cost]]=""),"Flag","Valid"))</f>
        <v>Valid</v>
      </c>
      <c r="L308" t="str">
        <f>IF((COUNTIFS(data_tab[Revenue],data_tab[[#This Row],[Revenue]],data_tab[Cost],data_tab[[#This Row],[Cost]]))&gt;1,"Duplicate","Unique")</f>
        <v>Unique</v>
      </c>
      <c r="M308">
        <f>data_tab[[#This Row],[Revenue]]-data_tab[[#This Row],[Cost]]</f>
        <v>20378.430128886401</v>
      </c>
      <c r="N308" t="str">
        <f>IF(data_tab[[#This Row],[Revenue]]&lt;0,"Return","Sale")</f>
        <v>Sale</v>
      </c>
    </row>
    <row r="309" spans="1:14" hidden="1">
      <c r="A309" s="1">
        <v>46124</v>
      </c>
      <c r="B309">
        <f>MONTH(data_tab[[#This Row],[Order Date]])</f>
        <v>4</v>
      </c>
      <c r="C309">
        <f>YEAR(data_tab[[#This Row],[Order Date]])</f>
        <v>2026</v>
      </c>
      <c r="D309" t="s">
        <v>31</v>
      </c>
      <c r="E309" t="s">
        <v>32</v>
      </c>
      <c r="F309" t="s">
        <v>24</v>
      </c>
      <c r="G309" t="s">
        <v>41</v>
      </c>
      <c r="H309">
        <v>8</v>
      </c>
      <c r="J309">
        <v>134668.67753437001</v>
      </c>
      <c r="K309" t="str">
        <f>IF(AND(data_tab[[#This Row],[Revenue]]="",data_tab[[#This Row],[Cost]]=""),"Remove",IF(OR(data_tab[[#This Row],[Revenue]]="",data_tab[[#This Row],[Cost]]=""),"Flag","Valid"))</f>
        <v>Flag</v>
      </c>
      <c r="L309" t="str">
        <f>IF((COUNTIFS(data_tab[Revenue],data_tab[[#This Row],[Revenue]],data_tab[Cost],data_tab[[#This Row],[Cost]]))&gt;1,"Duplicate","Unique")</f>
        <v>Unique</v>
      </c>
      <c r="M309">
        <f>data_tab[[#This Row],[Revenue]]-data_tab[[#This Row],[Cost]]</f>
        <v>-134668.67753437001</v>
      </c>
      <c r="N309" t="str">
        <f>IF(data_tab[[#This Row],[Revenue]]&lt;0,"Return","Sale")</f>
        <v>Sale</v>
      </c>
    </row>
    <row r="310" spans="1:14" hidden="1">
      <c r="A310" s="1">
        <v>46094</v>
      </c>
      <c r="B310">
        <f>MONTH(data_tab[[#This Row],[Order Date]])</f>
        <v>3</v>
      </c>
      <c r="C310">
        <f>YEAR(data_tab[[#This Row],[Order Date]])</f>
        <v>2026</v>
      </c>
      <c r="D310" t="s">
        <v>14</v>
      </c>
      <c r="E310" t="s">
        <v>15</v>
      </c>
      <c r="F310" t="s">
        <v>24</v>
      </c>
      <c r="G310" t="s">
        <v>17</v>
      </c>
      <c r="H310">
        <v>3</v>
      </c>
      <c r="I310">
        <v>65076</v>
      </c>
      <c r="J310">
        <v>57897.321310193998</v>
      </c>
      <c r="K310" t="str">
        <f>IF(AND(data_tab[[#This Row],[Revenue]]="",data_tab[[#This Row],[Cost]]=""),"Remove",IF(OR(data_tab[[#This Row],[Revenue]]="",data_tab[[#This Row],[Cost]]=""),"Flag","Valid"))</f>
        <v>Valid</v>
      </c>
      <c r="L310" t="str">
        <f>IF((COUNTIFS(data_tab[Revenue],data_tab[[#This Row],[Revenue]],data_tab[Cost],data_tab[[#This Row],[Cost]]))&gt;1,"Duplicate","Unique")</f>
        <v>Unique</v>
      </c>
      <c r="M310">
        <f>data_tab[[#This Row],[Revenue]]-data_tab[[#This Row],[Cost]]</f>
        <v>7178.6786898060018</v>
      </c>
      <c r="N310" t="str">
        <f>IF(data_tab[[#This Row],[Revenue]]&lt;0,"Return","Sale")</f>
        <v>Sale</v>
      </c>
    </row>
    <row r="311" spans="1:14" hidden="1">
      <c r="A311" s="1">
        <v>46129</v>
      </c>
      <c r="B311">
        <f>MONTH(data_tab[[#This Row],[Order Date]])</f>
        <v>4</v>
      </c>
      <c r="C311">
        <f>YEAR(data_tab[[#This Row],[Order Date]])</f>
        <v>2026</v>
      </c>
      <c r="D311" t="s">
        <v>29</v>
      </c>
      <c r="E311" t="s">
        <v>15</v>
      </c>
      <c r="F311" t="s">
        <v>21</v>
      </c>
      <c r="G311" t="s">
        <v>33</v>
      </c>
      <c r="H311">
        <v>8</v>
      </c>
      <c r="I311">
        <v>286792</v>
      </c>
      <c r="J311">
        <v>242877.143696816</v>
      </c>
      <c r="K311" t="str">
        <f>IF(AND(data_tab[[#This Row],[Revenue]]="",data_tab[[#This Row],[Cost]]=""),"Remove",IF(OR(data_tab[[#This Row],[Revenue]]="",data_tab[[#This Row],[Cost]]=""),"Flag","Valid"))</f>
        <v>Valid</v>
      </c>
      <c r="L311" t="str">
        <f>IF((COUNTIFS(data_tab[Revenue],data_tab[[#This Row],[Revenue]],data_tab[Cost],data_tab[[#This Row],[Cost]]))&gt;1,"Duplicate","Unique")</f>
        <v>Unique</v>
      </c>
      <c r="M311">
        <f>data_tab[[#This Row],[Revenue]]-data_tab[[#This Row],[Cost]]</f>
        <v>43914.856303184002</v>
      </c>
      <c r="N311" t="str">
        <f>IF(data_tab[[#This Row],[Revenue]]&lt;0,"Return","Sale")</f>
        <v>Sale</v>
      </c>
    </row>
    <row r="312" spans="1:14" hidden="1">
      <c r="A312" s="1">
        <v>46102</v>
      </c>
      <c r="B312">
        <f>MONTH(data_tab[[#This Row],[Order Date]])</f>
        <v>3</v>
      </c>
      <c r="C312">
        <f>YEAR(data_tab[[#This Row],[Order Date]])</f>
        <v>2026</v>
      </c>
      <c r="D312" t="s">
        <v>23</v>
      </c>
      <c r="E312" t="s">
        <v>15</v>
      </c>
      <c r="F312" t="s">
        <v>24</v>
      </c>
      <c r="G312" t="s">
        <v>17</v>
      </c>
      <c r="H312">
        <v>4</v>
      </c>
      <c r="I312">
        <v>60616</v>
      </c>
      <c r="J312">
        <v>50601.671315971398</v>
      </c>
      <c r="K312" t="str">
        <f>IF(AND(data_tab[[#This Row],[Revenue]]="",data_tab[[#This Row],[Cost]]=""),"Remove",IF(OR(data_tab[[#This Row],[Revenue]]="",data_tab[[#This Row],[Cost]]=""),"Flag","Valid"))</f>
        <v>Valid</v>
      </c>
      <c r="L312" t="str">
        <f>IF((COUNTIFS(data_tab[Revenue],data_tab[[#This Row],[Revenue]],data_tab[Cost],data_tab[[#This Row],[Cost]]))&gt;1,"Duplicate","Unique")</f>
        <v>Unique</v>
      </c>
      <c r="M312">
        <f>data_tab[[#This Row],[Revenue]]-data_tab[[#This Row],[Cost]]</f>
        <v>10014.328684028602</v>
      </c>
      <c r="N312" t="str">
        <f>IF(data_tab[[#This Row],[Revenue]]&lt;0,"Return","Sale")</f>
        <v>Sale</v>
      </c>
    </row>
    <row r="313" spans="1:14" hidden="1">
      <c r="A313" s="1">
        <v>46203</v>
      </c>
      <c r="B313">
        <f>MONTH(data_tab[[#This Row],[Order Date]])</f>
        <v>6</v>
      </c>
      <c r="C313">
        <f>YEAR(data_tab[[#This Row],[Order Date]])</f>
        <v>2026</v>
      </c>
      <c r="D313" t="s">
        <v>35</v>
      </c>
      <c r="E313" t="s">
        <v>32</v>
      </c>
      <c r="F313" t="s">
        <v>36</v>
      </c>
      <c r="G313" t="s">
        <v>26</v>
      </c>
      <c r="H313">
        <v>7</v>
      </c>
      <c r="I313">
        <v>305494</v>
      </c>
      <c r="J313">
        <v>265544.37467861298</v>
      </c>
      <c r="K313" t="str">
        <f>IF(AND(data_tab[[#This Row],[Revenue]]="",data_tab[[#This Row],[Cost]]=""),"Remove",IF(OR(data_tab[[#This Row],[Revenue]]="",data_tab[[#This Row],[Cost]]=""),"Flag","Valid"))</f>
        <v>Valid</v>
      </c>
      <c r="L313" t="str">
        <f>IF((COUNTIFS(data_tab[Revenue],data_tab[[#This Row],[Revenue]],data_tab[Cost],data_tab[[#This Row],[Cost]]))&gt;1,"Duplicate","Unique")</f>
        <v>Unique</v>
      </c>
      <c r="M313">
        <f>data_tab[[#This Row],[Revenue]]-data_tab[[#This Row],[Cost]]</f>
        <v>39949.625321387022</v>
      </c>
      <c r="N313" t="str">
        <f>IF(data_tab[[#This Row],[Revenue]]&lt;0,"Return","Sale")</f>
        <v>Sale</v>
      </c>
    </row>
    <row r="314" spans="1:14" hidden="1">
      <c r="A314" s="1">
        <v>46137</v>
      </c>
      <c r="B314">
        <f>MONTH(data_tab[[#This Row],[Order Date]])</f>
        <v>4</v>
      </c>
      <c r="C314">
        <f>YEAR(data_tab[[#This Row],[Order Date]])</f>
        <v>2026</v>
      </c>
      <c r="D314" t="s">
        <v>23</v>
      </c>
      <c r="E314" t="s">
        <v>15</v>
      </c>
      <c r="F314" t="s">
        <v>36</v>
      </c>
      <c r="G314" t="s">
        <v>26</v>
      </c>
      <c r="H314">
        <v>9</v>
      </c>
      <c r="I314">
        <v>224289</v>
      </c>
      <c r="J314">
        <v>143029.00593014099</v>
      </c>
      <c r="K314" t="str">
        <f>IF(AND(data_tab[[#This Row],[Revenue]]="",data_tab[[#This Row],[Cost]]=""),"Remove",IF(OR(data_tab[[#This Row],[Revenue]]="",data_tab[[#This Row],[Cost]]=""),"Flag","Valid"))</f>
        <v>Valid</v>
      </c>
      <c r="L314" t="str">
        <f>IF((COUNTIFS(data_tab[Revenue],data_tab[[#This Row],[Revenue]],data_tab[Cost],data_tab[[#This Row],[Cost]]))&gt;1,"Duplicate","Unique")</f>
        <v>Duplicate</v>
      </c>
      <c r="M314">
        <f>data_tab[[#This Row],[Revenue]]-data_tab[[#This Row],[Cost]]</f>
        <v>81259.994069859007</v>
      </c>
      <c r="N314" t="str">
        <f>IF(data_tab[[#This Row],[Revenue]]&lt;0,"Return","Sale")</f>
        <v>Sale</v>
      </c>
    </row>
    <row r="315" spans="1:14" hidden="1">
      <c r="A315" s="1">
        <v>46046</v>
      </c>
      <c r="B315">
        <f>MONTH(data_tab[[#This Row],[Order Date]])</f>
        <v>1</v>
      </c>
      <c r="C315">
        <f>YEAR(data_tab[[#This Row],[Order Date]])</f>
        <v>2026</v>
      </c>
      <c r="D315" t="s">
        <v>31</v>
      </c>
      <c r="E315" t="s">
        <v>32</v>
      </c>
      <c r="F315" t="s">
        <v>21</v>
      </c>
      <c r="G315" t="s">
        <v>17</v>
      </c>
      <c r="H315">
        <v>4</v>
      </c>
      <c r="I315">
        <v>185652</v>
      </c>
      <c r="J315">
        <v>108178.008416747</v>
      </c>
      <c r="K315" t="str">
        <f>IF(AND(data_tab[[#This Row],[Revenue]]="",data_tab[[#This Row],[Cost]]=""),"Remove",IF(OR(data_tab[[#This Row],[Revenue]]="",data_tab[[#This Row],[Cost]]=""),"Flag","Valid"))</f>
        <v>Valid</v>
      </c>
      <c r="L315" t="str">
        <f>IF((COUNTIFS(data_tab[Revenue],data_tab[[#This Row],[Revenue]],data_tab[Cost],data_tab[[#This Row],[Cost]]))&gt;1,"Duplicate","Unique")</f>
        <v>Unique</v>
      </c>
      <c r="M315">
        <f>data_tab[[#This Row],[Revenue]]-data_tab[[#This Row],[Cost]]</f>
        <v>77473.991583252995</v>
      </c>
      <c r="N315" t="str">
        <f>IF(data_tab[[#This Row],[Revenue]]&lt;0,"Return","Sale")</f>
        <v>Sale</v>
      </c>
    </row>
    <row r="316" spans="1:14" hidden="1">
      <c r="A316" s="1">
        <v>46197</v>
      </c>
      <c r="B316">
        <f>MONTH(data_tab[[#This Row],[Order Date]])</f>
        <v>6</v>
      </c>
      <c r="C316">
        <f>YEAR(data_tab[[#This Row],[Order Date]])</f>
        <v>2026</v>
      </c>
      <c r="D316" t="s">
        <v>31</v>
      </c>
      <c r="E316" t="s">
        <v>32</v>
      </c>
      <c r="F316" t="s">
        <v>21</v>
      </c>
      <c r="G316" t="s">
        <v>26</v>
      </c>
      <c r="H316">
        <v>1</v>
      </c>
      <c r="I316">
        <v>16664</v>
      </c>
      <c r="J316">
        <v>10014.3337259335</v>
      </c>
      <c r="K316" t="str">
        <f>IF(AND(data_tab[[#This Row],[Revenue]]="",data_tab[[#This Row],[Cost]]=""),"Remove",IF(OR(data_tab[[#This Row],[Revenue]]="",data_tab[[#This Row],[Cost]]=""),"Flag","Valid"))</f>
        <v>Valid</v>
      </c>
      <c r="L316" t="str">
        <f>IF((COUNTIFS(data_tab[Revenue],data_tab[[#This Row],[Revenue]],data_tab[Cost],data_tab[[#This Row],[Cost]]))&gt;1,"Duplicate","Unique")</f>
        <v>Unique</v>
      </c>
      <c r="M316">
        <f>data_tab[[#This Row],[Revenue]]-data_tab[[#This Row],[Cost]]</f>
        <v>6649.6662740664997</v>
      </c>
      <c r="N316" t="str">
        <f>IF(data_tab[[#This Row],[Revenue]]&lt;0,"Return","Sale")</f>
        <v>Sale</v>
      </c>
    </row>
    <row r="317" spans="1:14" hidden="1">
      <c r="A317" s="1">
        <v>46187</v>
      </c>
      <c r="B317">
        <f>MONTH(data_tab[[#This Row],[Order Date]])</f>
        <v>6</v>
      </c>
      <c r="C317">
        <f>YEAR(data_tab[[#This Row],[Order Date]])</f>
        <v>2026</v>
      </c>
      <c r="D317" t="s">
        <v>23</v>
      </c>
      <c r="E317" t="s">
        <v>15</v>
      </c>
      <c r="F317" t="s">
        <v>16</v>
      </c>
      <c r="G317" t="s">
        <v>33</v>
      </c>
      <c r="H317">
        <v>5</v>
      </c>
      <c r="I317">
        <v>81500</v>
      </c>
      <c r="J317">
        <v>55964.355305209203</v>
      </c>
      <c r="K317" t="str">
        <f>IF(AND(data_tab[[#This Row],[Revenue]]="",data_tab[[#This Row],[Cost]]=""),"Remove",IF(OR(data_tab[[#This Row],[Revenue]]="",data_tab[[#This Row],[Cost]]=""),"Flag","Valid"))</f>
        <v>Valid</v>
      </c>
      <c r="L317" t="str">
        <f>IF((COUNTIFS(data_tab[Revenue],data_tab[[#This Row],[Revenue]],data_tab[Cost],data_tab[[#This Row],[Cost]]))&gt;1,"Duplicate","Unique")</f>
        <v>Unique</v>
      </c>
      <c r="M317">
        <f>data_tab[[#This Row],[Revenue]]-data_tab[[#This Row],[Cost]]</f>
        <v>25535.644694790797</v>
      </c>
      <c r="N317" t="str">
        <f>IF(data_tab[[#This Row],[Revenue]]&lt;0,"Return","Sale")</f>
        <v>Sale</v>
      </c>
    </row>
    <row r="318" spans="1:14" hidden="1">
      <c r="A318" s="1">
        <v>46049</v>
      </c>
      <c r="B318">
        <f>MONTH(data_tab[[#This Row],[Order Date]])</f>
        <v>1</v>
      </c>
      <c r="C318">
        <f>YEAR(data_tab[[#This Row],[Order Date]])</f>
        <v>2026</v>
      </c>
      <c r="D318" t="s">
        <v>14</v>
      </c>
      <c r="E318" t="s">
        <v>15</v>
      </c>
      <c r="F318" t="s">
        <v>16</v>
      </c>
      <c r="G318" t="s">
        <v>26</v>
      </c>
      <c r="H318">
        <v>10</v>
      </c>
      <c r="I318">
        <v>419140</v>
      </c>
      <c r="J318">
        <v>256962.47462696701</v>
      </c>
      <c r="K318" t="str">
        <f>IF(AND(data_tab[[#This Row],[Revenue]]="",data_tab[[#This Row],[Cost]]=""),"Remove",IF(OR(data_tab[[#This Row],[Revenue]]="",data_tab[[#This Row],[Cost]]=""),"Flag","Valid"))</f>
        <v>Valid</v>
      </c>
      <c r="L318" t="str">
        <f>IF((COUNTIFS(data_tab[Revenue],data_tab[[#This Row],[Revenue]],data_tab[Cost],data_tab[[#This Row],[Cost]]))&gt;1,"Duplicate","Unique")</f>
        <v>Unique</v>
      </c>
      <c r="M318">
        <f>data_tab[[#This Row],[Revenue]]-data_tab[[#This Row],[Cost]]</f>
        <v>162177.52537303299</v>
      </c>
      <c r="N318" t="str">
        <f>IF(data_tab[[#This Row],[Revenue]]&lt;0,"Return","Sale")</f>
        <v>Sale</v>
      </c>
    </row>
    <row r="319" spans="1:14" hidden="1">
      <c r="A319" s="1">
        <v>46093</v>
      </c>
      <c r="B319">
        <f>MONTH(data_tab[[#This Row],[Order Date]])</f>
        <v>3</v>
      </c>
      <c r="C319">
        <f>YEAR(data_tab[[#This Row],[Order Date]])</f>
        <v>2026</v>
      </c>
      <c r="D319" t="s">
        <v>35</v>
      </c>
      <c r="E319" t="s">
        <v>32</v>
      </c>
      <c r="F319" t="s">
        <v>16</v>
      </c>
      <c r="G319" t="s">
        <v>17</v>
      </c>
      <c r="H319">
        <v>3</v>
      </c>
      <c r="I319">
        <v>107703</v>
      </c>
      <c r="J319">
        <v>86829.055217386005</v>
      </c>
      <c r="K319" t="str">
        <f>IF(AND(data_tab[[#This Row],[Revenue]]="",data_tab[[#This Row],[Cost]]=""),"Remove",IF(OR(data_tab[[#This Row],[Revenue]]="",data_tab[[#This Row],[Cost]]=""),"Flag","Valid"))</f>
        <v>Valid</v>
      </c>
      <c r="L319" t="str">
        <f>IF((COUNTIFS(data_tab[Revenue],data_tab[[#This Row],[Revenue]],data_tab[Cost],data_tab[[#This Row],[Cost]]))&gt;1,"Duplicate","Unique")</f>
        <v>Unique</v>
      </c>
      <c r="M319">
        <f>data_tab[[#This Row],[Revenue]]-data_tab[[#This Row],[Cost]]</f>
        <v>20873.944782613995</v>
      </c>
      <c r="N319" t="str">
        <f>IF(data_tab[[#This Row],[Revenue]]&lt;0,"Return","Sale")</f>
        <v>Sale</v>
      </c>
    </row>
    <row r="320" spans="1:14" hidden="1">
      <c r="A320" s="1">
        <v>46176</v>
      </c>
      <c r="B320">
        <f>MONTH(data_tab[[#This Row],[Order Date]])</f>
        <v>6</v>
      </c>
      <c r="C320">
        <f>YEAR(data_tab[[#This Row],[Order Date]])</f>
        <v>2026</v>
      </c>
      <c r="D320" t="s">
        <v>31</v>
      </c>
      <c r="E320" t="s">
        <v>32</v>
      </c>
      <c r="F320" t="s">
        <v>24</v>
      </c>
      <c r="G320" t="s">
        <v>41</v>
      </c>
      <c r="H320">
        <v>8</v>
      </c>
      <c r="I320">
        <v>170976</v>
      </c>
      <c r="J320">
        <v>103230.266561282</v>
      </c>
      <c r="K320" t="str">
        <f>IF(AND(data_tab[[#This Row],[Revenue]]="",data_tab[[#This Row],[Cost]]=""),"Remove",IF(OR(data_tab[[#This Row],[Revenue]]="",data_tab[[#This Row],[Cost]]=""),"Flag","Valid"))</f>
        <v>Valid</v>
      </c>
      <c r="L320" t="str">
        <f>IF((COUNTIFS(data_tab[Revenue],data_tab[[#This Row],[Revenue]],data_tab[Cost],data_tab[[#This Row],[Cost]]))&gt;1,"Duplicate","Unique")</f>
        <v>Unique</v>
      </c>
      <c r="M320">
        <f>data_tab[[#This Row],[Revenue]]-data_tab[[#This Row],[Cost]]</f>
        <v>67745.733438718002</v>
      </c>
      <c r="N320" t="str">
        <f>IF(data_tab[[#This Row],[Revenue]]&lt;0,"Return","Sale")</f>
        <v>Sale</v>
      </c>
    </row>
    <row r="321" spans="1:14">
      <c r="A321" s="1">
        <v>46169</v>
      </c>
      <c r="B321">
        <f>MONTH(data_tab[[#This Row],[Order Date]])</f>
        <v>5</v>
      </c>
      <c r="C321">
        <f>YEAR(data_tab[[#This Row],[Order Date]])</f>
        <v>2026</v>
      </c>
      <c r="D321" t="s">
        <v>14</v>
      </c>
      <c r="E321" t="s">
        <v>15</v>
      </c>
      <c r="F321" t="s">
        <v>21</v>
      </c>
      <c r="G321" t="s">
        <v>41</v>
      </c>
      <c r="H321">
        <v>9</v>
      </c>
      <c r="I321">
        <v>394488</v>
      </c>
      <c r="J321">
        <v>321096.98781986098</v>
      </c>
      <c r="K321" t="str">
        <f>IF(AND(data_tab[[#This Row],[Revenue]]="",data_tab[[#This Row],[Cost]]=""),"Remove",IF(OR(data_tab[[#This Row],[Revenue]]="",data_tab[[#This Row],[Cost]]=""),"Flag","Valid"))</f>
        <v>Valid</v>
      </c>
      <c r="L321" t="str">
        <f>IF((COUNTIFS(data_tab[Revenue],data_tab[[#This Row],[Revenue]],data_tab[Cost],data_tab[[#This Row],[Cost]]))&gt;1,"Duplicate","Unique")</f>
        <v>Duplicate</v>
      </c>
      <c r="M321">
        <f>data_tab[[#This Row],[Revenue]]-data_tab[[#This Row],[Cost]]</f>
        <v>73391.01218013902</v>
      </c>
      <c r="N321" t="str">
        <f>IF(data_tab[[#This Row],[Revenue]]&lt;0,"Return","Sale")</f>
        <v>Sale</v>
      </c>
    </row>
    <row r="322" spans="1:14" hidden="1">
      <c r="A322" s="1">
        <v>46066</v>
      </c>
      <c r="B322">
        <f>MONTH(data_tab[[#This Row],[Order Date]])</f>
        <v>2</v>
      </c>
      <c r="C322">
        <f>YEAR(data_tab[[#This Row],[Order Date]])</f>
        <v>2026</v>
      </c>
      <c r="D322" t="s">
        <v>31</v>
      </c>
      <c r="E322" t="s">
        <v>32</v>
      </c>
      <c r="F322" t="s">
        <v>16</v>
      </c>
      <c r="G322" t="s">
        <v>39</v>
      </c>
      <c r="H322">
        <v>8</v>
      </c>
      <c r="I322">
        <v>83072</v>
      </c>
      <c r="J322">
        <v>66155.8456641636</v>
      </c>
      <c r="K322" t="str">
        <f>IF(AND(data_tab[[#This Row],[Revenue]]="",data_tab[[#This Row],[Cost]]=""),"Remove",IF(OR(data_tab[[#This Row],[Revenue]]="",data_tab[[#This Row],[Cost]]=""),"Flag","Valid"))</f>
        <v>Valid</v>
      </c>
      <c r="L322" t="str">
        <f>IF((COUNTIFS(data_tab[Revenue],data_tab[[#This Row],[Revenue]],data_tab[Cost],data_tab[[#This Row],[Cost]]))&gt;1,"Duplicate","Unique")</f>
        <v>Unique</v>
      </c>
      <c r="M322">
        <f>data_tab[[#This Row],[Revenue]]-data_tab[[#This Row],[Cost]]</f>
        <v>16916.1543358364</v>
      </c>
      <c r="N322" t="str">
        <f>IF(data_tab[[#This Row],[Revenue]]&lt;0,"Return","Sale")</f>
        <v>Sale</v>
      </c>
    </row>
    <row r="323" spans="1:14" hidden="1">
      <c r="A323" s="1">
        <v>46197</v>
      </c>
      <c r="B323">
        <f>MONTH(data_tab[[#This Row],[Order Date]])</f>
        <v>6</v>
      </c>
      <c r="C323">
        <f>YEAR(data_tab[[#This Row],[Order Date]])</f>
        <v>2026</v>
      </c>
      <c r="D323" t="s">
        <v>31</v>
      </c>
      <c r="E323" t="s">
        <v>32</v>
      </c>
      <c r="F323" t="s">
        <v>16</v>
      </c>
      <c r="G323" t="s">
        <v>17</v>
      </c>
      <c r="H323">
        <v>5</v>
      </c>
      <c r="I323">
        <v>147780</v>
      </c>
      <c r="J323">
        <v>120475.60190057001</v>
      </c>
      <c r="K323" t="str">
        <f>IF(AND(data_tab[[#This Row],[Revenue]]="",data_tab[[#This Row],[Cost]]=""),"Remove",IF(OR(data_tab[[#This Row],[Revenue]]="",data_tab[[#This Row],[Cost]]=""),"Flag","Valid"))</f>
        <v>Valid</v>
      </c>
      <c r="L323" t="str">
        <f>IF((COUNTIFS(data_tab[Revenue],data_tab[[#This Row],[Revenue]],data_tab[Cost],data_tab[[#This Row],[Cost]]))&gt;1,"Duplicate","Unique")</f>
        <v>Unique</v>
      </c>
      <c r="M323">
        <f>data_tab[[#This Row],[Revenue]]-data_tab[[#This Row],[Cost]]</f>
        <v>27304.398099429993</v>
      </c>
      <c r="N323" t="str">
        <f>IF(data_tab[[#This Row],[Revenue]]&lt;0,"Return","Sale")</f>
        <v>Sale</v>
      </c>
    </row>
    <row r="324" spans="1:14" hidden="1">
      <c r="A324" s="1">
        <v>46053</v>
      </c>
      <c r="B324">
        <f>MONTH(data_tab[[#This Row],[Order Date]])</f>
        <v>1</v>
      </c>
      <c r="C324">
        <f>YEAR(data_tab[[#This Row],[Order Date]])</f>
        <v>2026</v>
      </c>
      <c r="D324" t="s">
        <v>40</v>
      </c>
      <c r="E324" t="s">
        <v>15</v>
      </c>
      <c r="F324" t="s">
        <v>24</v>
      </c>
      <c r="G324" t="s">
        <v>33</v>
      </c>
      <c r="H324">
        <v>4</v>
      </c>
      <c r="I324">
        <v>139196</v>
      </c>
      <c r="J324">
        <v>76269.159677100804</v>
      </c>
      <c r="K324" t="str">
        <f>IF(AND(data_tab[[#This Row],[Revenue]]="",data_tab[[#This Row],[Cost]]=""),"Remove",IF(OR(data_tab[[#This Row],[Revenue]]="",data_tab[[#This Row],[Cost]]=""),"Flag","Valid"))</f>
        <v>Valid</v>
      </c>
      <c r="L324" t="str">
        <f>IF((COUNTIFS(data_tab[Revenue],data_tab[[#This Row],[Revenue]],data_tab[Cost],data_tab[[#This Row],[Cost]]))&gt;1,"Duplicate","Unique")</f>
        <v>Unique</v>
      </c>
      <c r="M324">
        <f>data_tab[[#This Row],[Revenue]]-data_tab[[#This Row],[Cost]]</f>
        <v>62926.840322899196</v>
      </c>
      <c r="N324" t="str">
        <f>IF(data_tab[[#This Row],[Revenue]]&lt;0,"Return","Sale")</f>
        <v>Sale</v>
      </c>
    </row>
    <row r="325" spans="1:14" hidden="1">
      <c r="A325" s="1">
        <v>46236</v>
      </c>
      <c r="B325">
        <f>MONTH(data_tab[[#This Row],[Order Date]])</f>
        <v>8</v>
      </c>
      <c r="C325">
        <f>YEAR(data_tab[[#This Row],[Order Date]])</f>
        <v>2026</v>
      </c>
      <c r="D325" t="s">
        <v>31</v>
      </c>
      <c r="E325" t="s">
        <v>32</v>
      </c>
      <c r="F325" t="s">
        <v>16</v>
      </c>
      <c r="G325" t="s">
        <v>33</v>
      </c>
      <c r="H325">
        <v>10</v>
      </c>
      <c r="I325">
        <v>319870</v>
      </c>
      <c r="J325">
        <v>178260.24383843399</v>
      </c>
      <c r="K325" t="str">
        <f>IF(AND(data_tab[[#This Row],[Revenue]]="",data_tab[[#This Row],[Cost]]=""),"Remove",IF(OR(data_tab[[#This Row],[Revenue]]="",data_tab[[#This Row],[Cost]]=""),"Flag","Valid"))</f>
        <v>Valid</v>
      </c>
      <c r="L325" t="str">
        <f>IF((COUNTIFS(data_tab[Revenue],data_tab[[#This Row],[Revenue]],data_tab[Cost],data_tab[[#This Row],[Cost]]))&gt;1,"Duplicate","Unique")</f>
        <v>Unique</v>
      </c>
      <c r="M325">
        <f>data_tab[[#This Row],[Revenue]]-data_tab[[#This Row],[Cost]]</f>
        <v>141609.75616156601</v>
      </c>
      <c r="N325" t="str">
        <f>IF(data_tab[[#This Row],[Revenue]]&lt;0,"Return","Sale")</f>
        <v>Sale</v>
      </c>
    </row>
    <row r="326" spans="1:14" hidden="1">
      <c r="A326" s="1">
        <v>46108</v>
      </c>
      <c r="B326">
        <f>MONTH(data_tab[[#This Row],[Order Date]])</f>
        <v>3</v>
      </c>
      <c r="C326">
        <f>YEAR(data_tab[[#This Row],[Order Date]])</f>
        <v>2026</v>
      </c>
      <c r="D326" t="s">
        <v>14</v>
      </c>
      <c r="E326" t="s">
        <v>15</v>
      </c>
      <c r="F326" t="s">
        <v>24</v>
      </c>
      <c r="G326" t="s">
        <v>39</v>
      </c>
      <c r="H326">
        <v>8</v>
      </c>
      <c r="I326">
        <v>159400</v>
      </c>
      <c r="J326">
        <v>93050.2198050445</v>
      </c>
      <c r="K326" t="str">
        <f>IF(AND(data_tab[[#This Row],[Revenue]]="",data_tab[[#This Row],[Cost]]=""),"Remove",IF(OR(data_tab[[#This Row],[Revenue]]="",data_tab[[#This Row],[Cost]]=""),"Flag","Valid"))</f>
        <v>Valid</v>
      </c>
      <c r="L326" t="str">
        <f>IF((COUNTIFS(data_tab[Revenue],data_tab[[#This Row],[Revenue]],data_tab[Cost],data_tab[[#This Row],[Cost]]))&gt;1,"Duplicate","Unique")</f>
        <v>Unique</v>
      </c>
      <c r="M326">
        <f>data_tab[[#This Row],[Revenue]]-data_tab[[#This Row],[Cost]]</f>
        <v>66349.7801949555</v>
      </c>
      <c r="N326" t="str">
        <f>IF(data_tab[[#This Row],[Revenue]]&lt;0,"Return","Sale")</f>
        <v>Sale</v>
      </c>
    </row>
    <row r="327" spans="1:14" hidden="1">
      <c r="A327" s="1">
        <v>46045</v>
      </c>
      <c r="B327">
        <f>MONTH(data_tab[[#This Row],[Order Date]])</f>
        <v>1</v>
      </c>
      <c r="C327">
        <f>YEAR(data_tab[[#This Row],[Order Date]])</f>
        <v>2026</v>
      </c>
      <c r="D327" t="s">
        <v>29</v>
      </c>
      <c r="E327" t="s">
        <v>15</v>
      </c>
      <c r="F327" t="s">
        <v>36</v>
      </c>
      <c r="G327" t="s">
        <v>33</v>
      </c>
      <c r="H327">
        <v>7</v>
      </c>
      <c r="J327">
        <v>152226.397002118</v>
      </c>
      <c r="K327" t="str">
        <f>IF(AND(data_tab[[#This Row],[Revenue]]="",data_tab[[#This Row],[Cost]]=""),"Remove",IF(OR(data_tab[[#This Row],[Revenue]]="",data_tab[[#This Row],[Cost]]=""),"Flag","Valid"))</f>
        <v>Flag</v>
      </c>
      <c r="L327" t="str">
        <f>IF((COUNTIFS(data_tab[Revenue],data_tab[[#This Row],[Revenue]],data_tab[Cost],data_tab[[#This Row],[Cost]]))&gt;1,"Duplicate","Unique")</f>
        <v>Unique</v>
      </c>
      <c r="M327">
        <f>data_tab[[#This Row],[Revenue]]-data_tab[[#This Row],[Cost]]</f>
        <v>-152226.397002118</v>
      </c>
      <c r="N327" t="str">
        <f>IF(data_tab[[#This Row],[Revenue]]&lt;0,"Return","Sale")</f>
        <v>Sale</v>
      </c>
    </row>
    <row r="328" spans="1:14" hidden="1">
      <c r="A328" s="1">
        <v>46026</v>
      </c>
      <c r="B328">
        <f>MONTH(data_tab[[#This Row],[Order Date]])</f>
        <v>1</v>
      </c>
      <c r="C328">
        <f>YEAR(data_tab[[#This Row],[Order Date]])</f>
        <v>2026</v>
      </c>
      <c r="D328" t="s">
        <v>40</v>
      </c>
      <c r="E328" t="s">
        <v>15</v>
      </c>
      <c r="F328" t="s">
        <v>21</v>
      </c>
      <c r="G328" t="s">
        <v>39</v>
      </c>
      <c r="H328">
        <v>1</v>
      </c>
      <c r="I328">
        <v>43070</v>
      </c>
      <c r="J328">
        <v>34173.516634454703</v>
      </c>
      <c r="K328" t="str">
        <f>IF(AND(data_tab[[#This Row],[Revenue]]="",data_tab[[#This Row],[Cost]]=""),"Remove",IF(OR(data_tab[[#This Row],[Revenue]]="",data_tab[[#This Row],[Cost]]=""),"Flag","Valid"))</f>
        <v>Valid</v>
      </c>
      <c r="L328" t="str">
        <f>IF((COUNTIFS(data_tab[Revenue],data_tab[[#This Row],[Revenue]],data_tab[Cost],data_tab[[#This Row],[Cost]]))&gt;1,"Duplicate","Unique")</f>
        <v>Unique</v>
      </c>
      <c r="M328">
        <f>data_tab[[#This Row],[Revenue]]-data_tab[[#This Row],[Cost]]</f>
        <v>8896.4833655452967</v>
      </c>
      <c r="N328" t="str">
        <f>IF(data_tab[[#This Row],[Revenue]]&lt;0,"Return","Sale")</f>
        <v>Sale</v>
      </c>
    </row>
    <row r="329" spans="1:14" hidden="1">
      <c r="A329" s="1">
        <v>46049</v>
      </c>
      <c r="B329">
        <f>MONTH(data_tab[[#This Row],[Order Date]])</f>
        <v>1</v>
      </c>
      <c r="C329">
        <f>YEAR(data_tab[[#This Row],[Order Date]])</f>
        <v>2026</v>
      </c>
      <c r="D329" t="s">
        <v>31</v>
      </c>
      <c r="E329" t="s">
        <v>32</v>
      </c>
      <c r="F329" t="s">
        <v>24</v>
      </c>
      <c r="G329" t="s">
        <v>39</v>
      </c>
      <c r="H329">
        <v>5</v>
      </c>
      <c r="I329">
        <v>105295</v>
      </c>
      <c r="J329">
        <v>71850.204407489393</v>
      </c>
      <c r="K329" t="str">
        <f>IF(AND(data_tab[[#This Row],[Revenue]]="",data_tab[[#This Row],[Cost]]=""),"Remove",IF(OR(data_tab[[#This Row],[Revenue]]="",data_tab[[#This Row],[Cost]]=""),"Flag","Valid"))</f>
        <v>Valid</v>
      </c>
      <c r="L329" t="str">
        <f>IF((COUNTIFS(data_tab[Revenue],data_tab[[#This Row],[Revenue]],data_tab[Cost],data_tab[[#This Row],[Cost]]))&gt;1,"Duplicate","Unique")</f>
        <v>Unique</v>
      </c>
      <c r="M329">
        <f>data_tab[[#This Row],[Revenue]]-data_tab[[#This Row],[Cost]]</f>
        <v>33444.795592510607</v>
      </c>
      <c r="N329" t="str">
        <f>IF(data_tab[[#This Row],[Revenue]]&lt;0,"Return","Sale")</f>
        <v>Sale</v>
      </c>
    </row>
    <row r="330" spans="1:14" hidden="1">
      <c r="A330" s="1">
        <v>46198</v>
      </c>
      <c r="B330">
        <f>MONTH(data_tab[[#This Row],[Order Date]])</f>
        <v>6</v>
      </c>
      <c r="C330">
        <f>YEAR(data_tab[[#This Row],[Order Date]])</f>
        <v>2026</v>
      </c>
      <c r="D330" t="s">
        <v>29</v>
      </c>
      <c r="E330" t="s">
        <v>15</v>
      </c>
      <c r="F330" t="s">
        <v>16</v>
      </c>
      <c r="G330" t="s">
        <v>17</v>
      </c>
      <c r="H330">
        <v>3</v>
      </c>
      <c r="I330">
        <v>85308</v>
      </c>
      <c r="J330">
        <v>43306.597093313598</v>
      </c>
      <c r="K330" t="str">
        <f>IF(AND(data_tab[[#This Row],[Revenue]]="",data_tab[[#This Row],[Cost]]=""),"Remove",IF(OR(data_tab[[#This Row],[Revenue]]="",data_tab[[#This Row],[Cost]]=""),"Flag","Valid"))</f>
        <v>Valid</v>
      </c>
      <c r="L330" t="str">
        <f>IF((COUNTIFS(data_tab[Revenue],data_tab[[#This Row],[Revenue]],data_tab[Cost],data_tab[[#This Row],[Cost]]))&gt;1,"Duplicate","Unique")</f>
        <v>Duplicate</v>
      </c>
      <c r="M330">
        <f>data_tab[[#This Row],[Revenue]]-data_tab[[#This Row],[Cost]]</f>
        <v>42001.402906686402</v>
      </c>
      <c r="N330" t="str">
        <f>IF(data_tab[[#This Row],[Revenue]]&lt;0,"Return","Sale")</f>
        <v>Sale</v>
      </c>
    </row>
    <row r="331" spans="1:14" hidden="1">
      <c r="A331" s="1">
        <v>46028</v>
      </c>
      <c r="B331">
        <f>MONTH(data_tab[[#This Row],[Order Date]])</f>
        <v>1</v>
      </c>
      <c r="C331">
        <f>YEAR(data_tab[[#This Row],[Order Date]])</f>
        <v>2026</v>
      </c>
      <c r="D331" t="s">
        <v>35</v>
      </c>
      <c r="E331" t="s">
        <v>32</v>
      </c>
      <c r="F331" t="s">
        <v>24</v>
      </c>
      <c r="G331" t="s">
        <v>33</v>
      </c>
      <c r="H331">
        <v>5</v>
      </c>
      <c r="I331">
        <v>185220</v>
      </c>
      <c r="K331" t="str">
        <f>IF(AND(data_tab[[#This Row],[Revenue]]="",data_tab[[#This Row],[Cost]]=""),"Remove",IF(OR(data_tab[[#This Row],[Revenue]]="",data_tab[[#This Row],[Cost]]=""),"Flag","Valid"))</f>
        <v>Flag</v>
      </c>
      <c r="L331" t="str">
        <f>IF((COUNTIFS(data_tab[Revenue],data_tab[[#This Row],[Revenue]],data_tab[Cost],data_tab[[#This Row],[Cost]]))&gt;1,"Duplicate","Unique")</f>
        <v>Unique</v>
      </c>
      <c r="M331">
        <f>data_tab[[#This Row],[Revenue]]-data_tab[[#This Row],[Cost]]</f>
        <v>185220</v>
      </c>
      <c r="N331" t="str">
        <f>IF(data_tab[[#This Row],[Revenue]]&lt;0,"Return","Sale")</f>
        <v>Sale</v>
      </c>
    </row>
    <row r="332" spans="1:14" hidden="1">
      <c r="A332" s="1">
        <v>46174</v>
      </c>
      <c r="B332">
        <f>MONTH(data_tab[[#This Row],[Order Date]])</f>
        <v>6</v>
      </c>
      <c r="C332">
        <f>YEAR(data_tab[[#This Row],[Order Date]])</f>
        <v>2026</v>
      </c>
      <c r="D332" t="s">
        <v>20</v>
      </c>
      <c r="E332" t="s">
        <v>15</v>
      </c>
      <c r="F332" t="s">
        <v>36</v>
      </c>
      <c r="G332" t="s">
        <v>33</v>
      </c>
      <c r="H332">
        <v>7</v>
      </c>
      <c r="I332">
        <v>70693</v>
      </c>
      <c r="J332">
        <v>50822.113449456701</v>
      </c>
      <c r="K332" t="str">
        <f>IF(AND(data_tab[[#This Row],[Revenue]]="",data_tab[[#This Row],[Cost]]=""),"Remove",IF(OR(data_tab[[#This Row],[Revenue]]="",data_tab[[#This Row],[Cost]]=""),"Flag","Valid"))</f>
        <v>Valid</v>
      </c>
      <c r="L332" t="str">
        <f>IF((COUNTIFS(data_tab[Revenue],data_tab[[#This Row],[Revenue]],data_tab[Cost],data_tab[[#This Row],[Cost]]))&gt;1,"Duplicate","Unique")</f>
        <v>Unique</v>
      </c>
      <c r="M332">
        <f>data_tab[[#This Row],[Revenue]]-data_tab[[#This Row],[Cost]]</f>
        <v>19870.886550543299</v>
      </c>
      <c r="N332" t="str">
        <f>IF(data_tab[[#This Row],[Revenue]]&lt;0,"Return","Sale")</f>
        <v>Sale</v>
      </c>
    </row>
    <row r="333" spans="1:14" hidden="1">
      <c r="A333" s="1">
        <v>46332</v>
      </c>
      <c r="B333">
        <f>MONTH(data_tab[[#This Row],[Order Date]])</f>
        <v>11</v>
      </c>
      <c r="C333">
        <f>YEAR(data_tab[[#This Row],[Order Date]])</f>
        <v>2026</v>
      </c>
      <c r="D333" t="s">
        <v>29</v>
      </c>
      <c r="E333" t="s">
        <v>15</v>
      </c>
      <c r="F333" t="s">
        <v>24</v>
      </c>
      <c r="G333" t="s">
        <v>41</v>
      </c>
      <c r="H333">
        <v>9</v>
      </c>
      <c r="I333">
        <v>177237</v>
      </c>
      <c r="J333">
        <v>132771.62382672599</v>
      </c>
      <c r="K333" t="str">
        <f>IF(AND(data_tab[[#This Row],[Revenue]]="",data_tab[[#This Row],[Cost]]=""),"Remove",IF(OR(data_tab[[#This Row],[Revenue]]="",data_tab[[#This Row],[Cost]]=""),"Flag","Valid"))</f>
        <v>Valid</v>
      </c>
      <c r="L333" t="str">
        <f>IF((COUNTIFS(data_tab[Revenue],data_tab[[#This Row],[Revenue]],data_tab[Cost],data_tab[[#This Row],[Cost]]))&gt;1,"Duplicate","Unique")</f>
        <v>Unique</v>
      </c>
      <c r="M333">
        <f>data_tab[[#This Row],[Revenue]]-data_tab[[#This Row],[Cost]]</f>
        <v>44465.376173274009</v>
      </c>
      <c r="N333" t="str">
        <f>IF(data_tab[[#This Row],[Revenue]]&lt;0,"Return","Sale")</f>
        <v>Sale</v>
      </c>
    </row>
    <row r="334" spans="1:14">
      <c r="A334" s="1">
        <v>46153</v>
      </c>
      <c r="B334">
        <f>MONTH(data_tab[[#This Row],[Order Date]])</f>
        <v>5</v>
      </c>
      <c r="C334">
        <f>YEAR(data_tab[[#This Row],[Order Date]])</f>
        <v>2026</v>
      </c>
      <c r="D334" t="s">
        <v>20</v>
      </c>
      <c r="E334" t="s">
        <v>15</v>
      </c>
      <c r="F334" t="s">
        <v>24</v>
      </c>
      <c r="G334" t="s">
        <v>33</v>
      </c>
      <c r="H334">
        <v>4</v>
      </c>
      <c r="I334">
        <v>167644</v>
      </c>
      <c r="J334">
        <v>97216.714436448005</v>
      </c>
      <c r="K334" t="str">
        <f>IF(AND(data_tab[[#This Row],[Revenue]]="",data_tab[[#This Row],[Cost]]=""),"Remove",IF(OR(data_tab[[#This Row],[Revenue]]="",data_tab[[#This Row],[Cost]]=""),"Flag","Valid"))</f>
        <v>Valid</v>
      </c>
      <c r="L334" t="str">
        <f>IF((COUNTIFS(data_tab[Revenue],data_tab[[#This Row],[Revenue]],data_tab[Cost],data_tab[[#This Row],[Cost]]))&gt;1,"Duplicate","Unique")</f>
        <v>Unique</v>
      </c>
      <c r="M334">
        <f>data_tab[[#This Row],[Revenue]]-data_tab[[#This Row],[Cost]]</f>
        <v>70427.285563551995</v>
      </c>
      <c r="N334" t="str">
        <f>IF(data_tab[[#This Row],[Revenue]]&lt;0,"Return","Sale")</f>
        <v>Sale</v>
      </c>
    </row>
    <row r="335" spans="1:14" hidden="1">
      <c r="A335" s="1">
        <v>46203</v>
      </c>
      <c r="B335">
        <f>MONTH(data_tab[[#This Row],[Order Date]])</f>
        <v>6</v>
      </c>
      <c r="C335">
        <f>YEAR(data_tab[[#This Row],[Order Date]])</f>
        <v>2026</v>
      </c>
      <c r="D335" t="s">
        <v>40</v>
      </c>
      <c r="E335" t="s">
        <v>15</v>
      </c>
      <c r="F335" t="s">
        <v>36</v>
      </c>
      <c r="G335" t="s">
        <v>17</v>
      </c>
      <c r="H335">
        <v>8</v>
      </c>
      <c r="J335">
        <v>112423.365198345</v>
      </c>
      <c r="K335" t="str">
        <f>IF(AND(data_tab[[#This Row],[Revenue]]="",data_tab[[#This Row],[Cost]]=""),"Remove",IF(OR(data_tab[[#This Row],[Revenue]]="",data_tab[[#This Row],[Cost]]=""),"Flag","Valid"))</f>
        <v>Flag</v>
      </c>
      <c r="L335" t="str">
        <f>IF((COUNTIFS(data_tab[Revenue],data_tab[[#This Row],[Revenue]],data_tab[Cost],data_tab[[#This Row],[Cost]]))&gt;1,"Duplicate","Unique")</f>
        <v>Unique</v>
      </c>
      <c r="M335">
        <f>data_tab[[#This Row],[Revenue]]-data_tab[[#This Row],[Cost]]</f>
        <v>-112423.365198345</v>
      </c>
      <c r="N335" t="str">
        <f>IF(data_tab[[#This Row],[Revenue]]&lt;0,"Return","Sale")</f>
        <v>Sale</v>
      </c>
    </row>
    <row r="336" spans="1:14">
      <c r="A336" s="1">
        <v>46169</v>
      </c>
      <c r="B336">
        <f>MONTH(data_tab[[#This Row],[Order Date]])</f>
        <v>5</v>
      </c>
      <c r="C336">
        <f>YEAR(data_tab[[#This Row],[Order Date]])</f>
        <v>2026</v>
      </c>
      <c r="D336" t="s">
        <v>20</v>
      </c>
      <c r="E336" t="s">
        <v>15</v>
      </c>
      <c r="F336" t="s">
        <v>24</v>
      </c>
      <c r="G336" t="s">
        <v>41</v>
      </c>
      <c r="H336">
        <v>2</v>
      </c>
      <c r="I336">
        <v>37540</v>
      </c>
      <c r="J336">
        <v>28445.3612621955</v>
      </c>
      <c r="K336" t="str">
        <f>IF(AND(data_tab[[#This Row],[Revenue]]="",data_tab[[#This Row],[Cost]]=""),"Remove",IF(OR(data_tab[[#This Row],[Revenue]]="",data_tab[[#This Row],[Cost]]=""),"Flag","Valid"))</f>
        <v>Valid</v>
      </c>
      <c r="L336" t="str">
        <f>IF((COUNTIFS(data_tab[Revenue],data_tab[[#This Row],[Revenue]],data_tab[Cost],data_tab[[#This Row],[Cost]]))&gt;1,"Duplicate","Unique")</f>
        <v>Unique</v>
      </c>
      <c r="M336">
        <f>data_tab[[#This Row],[Revenue]]-data_tab[[#This Row],[Cost]]</f>
        <v>9094.6387378045001</v>
      </c>
      <c r="N336" t="str">
        <f>IF(data_tab[[#This Row],[Revenue]]&lt;0,"Return","Sale")</f>
        <v>Sale</v>
      </c>
    </row>
    <row r="337" spans="1:14" hidden="1">
      <c r="A337" s="1">
        <v>46035</v>
      </c>
      <c r="B337">
        <f>MONTH(data_tab[[#This Row],[Order Date]])</f>
        <v>1</v>
      </c>
      <c r="C337">
        <f>YEAR(data_tab[[#This Row],[Order Date]])</f>
        <v>2026</v>
      </c>
      <c r="D337" t="s">
        <v>31</v>
      </c>
      <c r="E337" t="s">
        <v>32</v>
      </c>
      <c r="F337" t="s">
        <v>24</v>
      </c>
      <c r="G337" t="s">
        <v>37</v>
      </c>
      <c r="H337">
        <v>6</v>
      </c>
      <c r="I337">
        <v>278112</v>
      </c>
      <c r="J337">
        <v>173843.039572651</v>
      </c>
      <c r="K337" t="str">
        <f>IF(AND(data_tab[[#This Row],[Revenue]]="",data_tab[[#This Row],[Cost]]=""),"Remove",IF(OR(data_tab[[#This Row],[Revenue]]="",data_tab[[#This Row],[Cost]]=""),"Flag","Valid"))</f>
        <v>Valid</v>
      </c>
      <c r="L337" t="str">
        <f>IF((COUNTIFS(data_tab[Revenue],data_tab[[#This Row],[Revenue]],data_tab[Cost],data_tab[[#This Row],[Cost]]))&gt;1,"Duplicate","Unique")</f>
        <v>Unique</v>
      </c>
      <c r="M337">
        <f>data_tab[[#This Row],[Revenue]]-data_tab[[#This Row],[Cost]]</f>
        <v>104268.960427349</v>
      </c>
      <c r="N337" t="str">
        <f>IF(data_tab[[#This Row],[Revenue]]&lt;0,"Return","Sale")</f>
        <v>Sale</v>
      </c>
    </row>
    <row r="338" spans="1:14" hidden="1">
      <c r="A338" s="1">
        <v>46357</v>
      </c>
      <c r="B338">
        <f>MONTH(data_tab[[#This Row],[Order Date]])</f>
        <v>12</v>
      </c>
      <c r="C338">
        <f>YEAR(data_tab[[#This Row],[Order Date]])</f>
        <v>2026</v>
      </c>
      <c r="D338" t="s">
        <v>31</v>
      </c>
      <c r="E338" t="s">
        <v>32</v>
      </c>
      <c r="F338" t="s">
        <v>21</v>
      </c>
      <c r="G338" t="s">
        <v>37</v>
      </c>
      <c r="H338">
        <v>6</v>
      </c>
      <c r="I338">
        <v>184116</v>
      </c>
      <c r="J338">
        <v>162396.87805468001</v>
      </c>
      <c r="K338" t="str">
        <f>IF(AND(data_tab[[#This Row],[Revenue]]="",data_tab[[#This Row],[Cost]]=""),"Remove",IF(OR(data_tab[[#This Row],[Revenue]]="",data_tab[[#This Row],[Cost]]=""),"Flag","Valid"))</f>
        <v>Valid</v>
      </c>
      <c r="L338" t="str">
        <f>IF((COUNTIFS(data_tab[Revenue],data_tab[[#This Row],[Revenue]],data_tab[Cost],data_tab[[#This Row],[Cost]]))&gt;1,"Duplicate","Unique")</f>
        <v>Unique</v>
      </c>
      <c r="M338">
        <f>data_tab[[#This Row],[Revenue]]-data_tab[[#This Row],[Cost]]</f>
        <v>21719.121945319988</v>
      </c>
      <c r="N338" t="str">
        <f>IF(data_tab[[#This Row],[Revenue]]&lt;0,"Return","Sale")</f>
        <v>Sale</v>
      </c>
    </row>
    <row r="339" spans="1:14" hidden="1">
      <c r="A339" s="1">
        <v>46110</v>
      </c>
      <c r="B339">
        <f>MONTH(data_tab[[#This Row],[Order Date]])</f>
        <v>3</v>
      </c>
      <c r="C339">
        <f>YEAR(data_tab[[#This Row],[Order Date]])</f>
        <v>2026</v>
      </c>
      <c r="D339" t="s">
        <v>29</v>
      </c>
      <c r="E339" t="s">
        <v>15</v>
      </c>
      <c r="F339" t="s">
        <v>36</v>
      </c>
      <c r="G339" t="s">
        <v>33</v>
      </c>
      <c r="H339">
        <v>5</v>
      </c>
      <c r="I339">
        <v>136390</v>
      </c>
      <c r="J339">
        <v>105833.31703383601</v>
      </c>
      <c r="K339" t="str">
        <f>IF(AND(data_tab[[#This Row],[Revenue]]="",data_tab[[#This Row],[Cost]]=""),"Remove",IF(OR(data_tab[[#This Row],[Revenue]]="",data_tab[[#This Row],[Cost]]=""),"Flag","Valid"))</f>
        <v>Valid</v>
      </c>
      <c r="L339" t="str">
        <f>IF((COUNTIFS(data_tab[Revenue],data_tab[[#This Row],[Revenue]],data_tab[Cost],data_tab[[#This Row],[Cost]]))&gt;1,"Duplicate","Unique")</f>
        <v>Unique</v>
      </c>
      <c r="M339">
        <f>data_tab[[#This Row],[Revenue]]-data_tab[[#This Row],[Cost]]</f>
        <v>30556.682966163993</v>
      </c>
      <c r="N339" t="str">
        <f>IF(data_tab[[#This Row],[Revenue]]&lt;0,"Return","Sale")</f>
        <v>Sale</v>
      </c>
    </row>
    <row r="340" spans="1:14" hidden="1">
      <c r="A340" s="1">
        <v>46358</v>
      </c>
      <c r="B340">
        <f>MONTH(data_tab[[#This Row],[Order Date]])</f>
        <v>12</v>
      </c>
      <c r="C340">
        <f>YEAR(data_tab[[#This Row],[Order Date]])</f>
        <v>2026</v>
      </c>
      <c r="D340" t="s">
        <v>14</v>
      </c>
      <c r="E340" t="s">
        <v>15</v>
      </c>
      <c r="F340" t="s">
        <v>24</v>
      </c>
      <c r="G340" t="s">
        <v>17</v>
      </c>
      <c r="H340">
        <v>2</v>
      </c>
      <c r="I340">
        <v>58528</v>
      </c>
      <c r="J340">
        <v>50596.911953495197</v>
      </c>
      <c r="K340" t="str">
        <f>IF(AND(data_tab[[#This Row],[Revenue]]="",data_tab[[#This Row],[Cost]]=""),"Remove",IF(OR(data_tab[[#This Row],[Revenue]]="",data_tab[[#This Row],[Cost]]=""),"Flag","Valid"))</f>
        <v>Valid</v>
      </c>
      <c r="L340" t="str">
        <f>IF((COUNTIFS(data_tab[Revenue],data_tab[[#This Row],[Revenue]],data_tab[Cost],data_tab[[#This Row],[Cost]]))&gt;1,"Duplicate","Unique")</f>
        <v>Unique</v>
      </c>
      <c r="M340">
        <f>data_tab[[#This Row],[Revenue]]-data_tab[[#This Row],[Cost]]</f>
        <v>7931.0880465048031</v>
      </c>
      <c r="N340" t="str">
        <f>IF(data_tab[[#This Row],[Revenue]]&lt;0,"Return","Sale")</f>
        <v>Sale</v>
      </c>
    </row>
    <row r="341" spans="1:14" hidden="1">
      <c r="A341" s="1">
        <v>46179</v>
      </c>
      <c r="B341">
        <f>MONTH(data_tab[[#This Row],[Order Date]])</f>
        <v>6</v>
      </c>
      <c r="C341">
        <f>YEAR(data_tab[[#This Row],[Order Date]])</f>
        <v>2026</v>
      </c>
      <c r="D341" t="s">
        <v>20</v>
      </c>
      <c r="E341" t="s">
        <v>15</v>
      </c>
      <c r="F341" t="s">
        <v>21</v>
      </c>
      <c r="G341" t="s">
        <v>33</v>
      </c>
      <c r="H341">
        <v>8</v>
      </c>
      <c r="I341">
        <v>75208</v>
      </c>
      <c r="J341">
        <v>64305.665656721198</v>
      </c>
      <c r="K341" t="str">
        <f>IF(AND(data_tab[[#This Row],[Revenue]]="",data_tab[[#This Row],[Cost]]=""),"Remove",IF(OR(data_tab[[#This Row],[Revenue]]="",data_tab[[#This Row],[Cost]]=""),"Flag","Valid"))</f>
        <v>Valid</v>
      </c>
      <c r="L341" t="str">
        <f>IF((COUNTIFS(data_tab[Revenue],data_tab[[#This Row],[Revenue]],data_tab[Cost],data_tab[[#This Row],[Cost]]))&gt;1,"Duplicate","Unique")</f>
        <v>Unique</v>
      </c>
      <c r="M341">
        <f>data_tab[[#This Row],[Revenue]]-data_tab[[#This Row],[Cost]]</f>
        <v>10902.334343278802</v>
      </c>
      <c r="N341" t="str">
        <f>IF(data_tab[[#This Row],[Revenue]]&lt;0,"Return","Sale")</f>
        <v>Sale</v>
      </c>
    </row>
    <row r="342" spans="1:14" hidden="1">
      <c r="A342" s="1">
        <v>46026</v>
      </c>
      <c r="B342">
        <f>MONTH(data_tab[[#This Row],[Order Date]])</f>
        <v>1</v>
      </c>
      <c r="C342">
        <f>YEAR(data_tab[[#This Row],[Order Date]])</f>
        <v>2026</v>
      </c>
      <c r="D342" t="s">
        <v>23</v>
      </c>
      <c r="E342" t="s">
        <v>15</v>
      </c>
      <c r="F342" t="s">
        <v>21</v>
      </c>
      <c r="G342" t="s">
        <v>41</v>
      </c>
      <c r="H342">
        <v>6</v>
      </c>
      <c r="I342">
        <v>216114</v>
      </c>
      <c r="J342">
        <v>153276.96784420201</v>
      </c>
      <c r="K342" t="str">
        <f>IF(AND(data_tab[[#This Row],[Revenue]]="",data_tab[[#This Row],[Cost]]=""),"Remove",IF(OR(data_tab[[#This Row],[Revenue]]="",data_tab[[#This Row],[Cost]]=""),"Flag","Valid"))</f>
        <v>Valid</v>
      </c>
      <c r="L342" t="str">
        <f>IF((COUNTIFS(data_tab[Revenue],data_tab[[#This Row],[Revenue]],data_tab[Cost],data_tab[[#This Row],[Cost]]))&gt;1,"Duplicate","Unique")</f>
        <v>Unique</v>
      </c>
      <c r="M342">
        <f>data_tab[[#This Row],[Revenue]]-data_tab[[#This Row],[Cost]]</f>
        <v>62837.032155797991</v>
      </c>
      <c r="N342" t="str">
        <f>IF(data_tab[[#This Row],[Revenue]]&lt;0,"Return","Sale")</f>
        <v>Sale</v>
      </c>
    </row>
    <row r="343" spans="1:14" hidden="1">
      <c r="A343" s="1">
        <v>46086</v>
      </c>
      <c r="B343">
        <f>MONTH(data_tab[[#This Row],[Order Date]])</f>
        <v>3</v>
      </c>
      <c r="C343">
        <f>YEAR(data_tab[[#This Row],[Order Date]])</f>
        <v>2026</v>
      </c>
      <c r="D343" t="s">
        <v>14</v>
      </c>
      <c r="E343" t="s">
        <v>15</v>
      </c>
      <c r="F343" t="s">
        <v>36</v>
      </c>
      <c r="G343" t="s">
        <v>17</v>
      </c>
      <c r="H343">
        <v>9</v>
      </c>
      <c r="I343">
        <v>379503</v>
      </c>
      <c r="J343">
        <v>198034.701770899</v>
      </c>
      <c r="K343" t="str">
        <f>IF(AND(data_tab[[#This Row],[Revenue]]="",data_tab[[#This Row],[Cost]]=""),"Remove",IF(OR(data_tab[[#This Row],[Revenue]]="",data_tab[[#This Row],[Cost]]=""),"Flag","Valid"))</f>
        <v>Valid</v>
      </c>
      <c r="L343" t="str">
        <f>IF((COUNTIFS(data_tab[Revenue],data_tab[[#This Row],[Revenue]],data_tab[Cost],data_tab[[#This Row],[Cost]]))&gt;1,"Duplicate","Unique")</f>
        <v>Unique</v>
      </c>
      <c r="M343">
        <f>data_tab[[#This Row],[Revenue]]-data_tab[[#This Row],[Cost]]</f>
        <v>181468.298229101</v>
      </c>
      <c r="N343" t="str">
        <f>IF(data_tab[[#This Row],[Revenue]]&lt;0,"Return","Sale")</f>
        <v>Sale</v>
      </c>
    </row>
    <row r="344" spans="1:14">
      <c r="A344" s="1">
        <v>46149</v>
      </c>
      <c r="B344">
        <f>MONTH(data_tab[[#This Row],[Order Date]])</f>
        <v>5</v>
      </c>
      <c r="C344">
        <f>YEAR(data_tab[[#This Row],[Order Date]])</f>
        <v>2026</v>
      </c>
      <c r="D344" t="s">
        <v>29</v>
      </c>
      <c r="E344" t="s">
        <v>15</v>
      </c>
      <c r="F344" t="s">
        <v>16</v>
      </c>
      <c r="G344" t="s">
        <v>17</v>
      </c>
      <c r="H344">
        <v>6</v>
      </c>
      <c r="I344">
        <v>121374</v>
      </c>
      <c r="J344">
        <v>63131.507049977801</v>
      </c>
      <c r="K344" t="str">
        <f>IF(AND(data_tab[[#This Row],[Revenue]]="",data_tab[[#This Row],[Cost]]=""),"Remove",IF(OR(data_tab[[#This Row],[Revenue]]="",data_tab[[#This Row],[Cost]]=""),"Flag","Valid"))</f>
        <v>Valid</v>
      </c>
      <c r="L344" t="str">
        <f>IF((COUNTIFS(data_tab[Revenue],data_tab[[#This Row],[Revenue]],data_tab[Cost],data_tab[[#This Row],[Cost]]))&gt;1,"Duplicate","Unique")</f>
        <v>Unique</v>
      </c>
      <c r="M344">
        <f>data_tab[[#This Row],[Revenue]]-data_tab[[#This Row],[Cost]]</f>
        <v>58242.492950022199</v>
      </c>
      <c r="N344" t="str">
        <f>IF(data_tab[[#This Row],[Revenue]]&lt;0,"Return","Sale")</f>
        <v>Sale</v>
      </c>
    </row>
    <row r="345" spans="1:14" hidden="1">
      <c r="A345" s="1">
        <v>46056</v>
      </c>
      <c r="B345">
        <f>MONTH(data_tab[[#This Row],[Order Date]])</f>
        <v>2</v>
      </c>
      <c r="C345">
        <f>YEAR(data_tab[[#This Row],[Order Date]])</f>
        <v>2026</v>
      </c>
      <c r="D345" t="s">
        <v>29</v>
      </c>
      <c r="E345" t="s">
        <v>15</v>
      </c>
      <c r="F345" t="s">
        <v>36</v>
      </c>
      <c r="G345" t="s">
        <v>39</v>
      </c>
      <c r="H345">
        <v>8</v>
      </c>
      <c r="I345">
        <v>-250392</v>
      </c>
      <c r="J345">
        <v>156851.71118963699</v>
      </c>
      <c r="K345" t="str">
        <f>IF(AND(data_tab[[#This Row],[Revenue]]="",data_tab[[#This Row],[Cost]]=""),"Remove",IF(OR(data_tab[[#This Row],[Revenue]]="",data_tab[[#This Row],[Cost]]=""),"Flag","Valid"))</f>
        <v>Valid</v>
      </c>
      <c r="L345" t="str">
        <f>IF((COUNTIFS(data_tab[Revenue],data_tab[[#This Row],[Revenue]],data_tab[Cost],data_tab[[#This Row],[Cost]]))&gt;1,"Duplicate","Unique")</f>
        <v>Unique</v>
      </c>
      <c r="M345">
        <f>data_tab[[#This Row],[Revenue]]-data_tab[[#This Row],[Cost]]</f>
        <v>-407243.71118963696</v>
      </c>
      <c r="N345" t="str">
        <f>IF(data_tab[[#This Row],[Revenue]]&lt;0,"Return","Sale")</f>
        <v>Return</v>
      </c>
    </row>
    <row r="346" spans="1:14" hidden="1">
      <c r="A346" s="1">
        <v>46126</v>
      </c>
      <c r="B346">
        <f>MONTH(data_tab[[#This Row],[Order Date]])</f>
        <v>4</v>
      </c>
      <c r="C346">
        <f>YEAR(data_tab[[#This Row],[Order Date]])</f>
        <v>2026</v>
      </c>
      <c r="D346" t="s">
        <v>20</v>
      </c>
      <c r="E346" t="s">
        <v>15</v>
      </c>
      <c r="F346" t="s">
        <v>24</v>
      </c>
      <c r="G346" t="s">
        <v>26</v>
      </c>
      <c r="H346">
        <v>10</v>
      </c>
      <c r="I346">
        <v>437810</v>
      </c>
      <c r="J346">
        <v>272247.412814943</v>
      </c>
      <c r="K346" t="str">
        <f>IF(AND(data_tab[[#This Row],[Revenue]]="",data_tab[[#This Row],[Cost]]=""),"Remove",IF(OR(data_tab[[#This Row],[Revenue]]="",data_tab[[#This Row],[Cost]]=""),"Flag","Valid"))</f>
        <v>Valid</v>
      </c>
      <c r="L346" t="str">
        <f>IF((COUNTIFS(data_tab[Revenue],data_tab[[#This Row],[Revenue]],data_tab[Cost],data_tab[[#This Row],[Cost]]))&gt;1,"Duplicate","Unique")</f>
        <v>Unique</v>
      </c>
      <c r="M346">
        <f>data_tab[[#This Row],[Revenue]]-data_tab[[#This Row],[Cost]]</f>
        <v>165562.587185057</v>
      </c>
      <c r="N346" t="str">
        <f>IF(data_tab[[#This Row],[Revenue]]&lt;0,"Return","Sale")</f>
        <v>Sale</v>
      </c>
    </row>
    <row r="347" spans="1:14" hidden="1">
      <c r="A347" s="1">
        <v>46110</v>
      </c>
      <c r="B347">
        <f>MONTH(data_tab[[#This Row],[Order Date]])</f>
        <v>3</v>
      </c>
      <c r="C347">
        <f>YEAR(data_tab[[#This Row],[Order Date]])</f>
        <v>2026</v>
      </c>
      <c r="D347" t="s">
        <v>31</v>
      </c>
      <c r="E347" t="s">
        <v>32</v>
      </c>
      <c r="F347" t="s">
        <v>36</v>
      </c>
      <c r="G347" t="s">
        <v>37</v>
      </c>
      <c r="H347">
        <v>9</v>
      </c>
      <c r="I347">
        <v>383544</v>
      </c>
      <c r="J347">
        <v>283815.06578930398</v>
      </c>
      <c r="K347" t="str">
        <f>IF(AND(data_tab[[#This Row],[Revenue]]="",data_tab[[#This Row],[Cost]]=""),"Remove",IF(OR(data_tab[[#This Row],[Revenue]]="",data_tab[[#This Row],[Cost]]=""),"Flag","Valid"))</f>
        <v>Valid</v>
      </c>
      <c r="L347" t="str">
        <f>IF((COUNTIFS(data_tab[Revenue],data_tab[[#This Row],[Revenue]],data_tab[Cost],data_tab[[#This Row],[Cost]]))&gt;1,"Duplicate","Unique")</f>
        <v>Unique</v>
      </c>
      <c r="M347">
        <f>data_tab[[#This Row],[Revenue]]-data_tab[[#This Row],[Cost]]</f>
        <v>99728.934210696025</v>
      </c>
      <c r="N347" t="str">
        <f>IF(data_tab[[#This Row],[Revenue]]&lt;0,"Return","Sale")</f>
        <v>Sale</v>
      </c>
    </row>
    <row r="348" spans="1:14" hidden="1">
      <c r="A348" s="1">
        <v>46047</v>
      </c>
      <c r="B348">
        <f>MONTH(data_tab[[#This Row],[Order Date]])</f>
        <v>1</v>
      </c>
      <c r="C348">
        <f>YEAR(data_tab[[#This Row],[Order Date]])</f>
        <v>2026</v>
      </c>
      <c r="D348" t="s">
        <v>35</v>
      </c>
      <c r="E348" t="s">
        <v>32</v>
      </c>
      <c r="F348" t="s">
        <v>16</v>
      </c>
      <c r="G348" t="s">
        <v>41</v>
      </c>
      <c r="H348">
        <v>5</v>
      </c>
      <c r="I348">
        <v>189465</v>
      </c>
      <c r="K348" t="str">
        <f>IF(AND(data_tab[[#This Row],[Revenue]]="",data_tab[[#This Row],[Cost]]=""),"Remove",IF(OR(data_tab[[#This Row],[Revenue]]="",data_tab[[#This Row],[Cost]]=""),"Flag","Valid"))</f>
        <v>Flag</v>
      </c>
      <c r="L348" t="str">
        <f>IF((COUNTIFS(data_tab[Revenue],data_tab[[#This Row],[Revenue]],data_tab[Cost],data_tab[[#This Row],[Cost]]))&gt;1,"Duplicate","Unique")</f>
        <v>Unique</v>
      </c>
      <c r="M348">
        <f>data_tab[[#This Row],[Revenue]]-data_tab[[#This Row],[Cost]]</f>
        <v>189465</v>
      </c>
      <c r="N348" t="str">
        <f>IF(data_tab[[#This Row],[Revenue]]&lt;0,"Return","Sale")</f>
        <v>Sale</v>
      </c>
    </row>
    <row r="349" spans="1:14" hidden="1">
      <c r="A349" s="1">
        <v>46058</v>
      </c>
      <c r="B349">
        <f>MONTH(data_tab[[#This Row],[Order Date]])</f>
        <v>2</v>
      </c>
      <c r="C349">
        <f>YEAR(data_tab[[#This Row],[Order Date]])</f>
        <v>2026</v>
      </c>
      <c r="D349" t="s">
        <v>29</v>
      </c>
      <c r="E349" t="s">
        <v>15</v>
      </c>
      <c r="F349" t="s">
        <v>24</v>
      </c>
      <c r="G349" t="s">
        <v>37</v>
      </c>
      <c r="H349">
        <v>10</v>
      </c>
      <c r="I349">
        <v>148390</v>
      </c>
      <c r="J349">
        <v>85326.826081953797</v>
      </c>
      <c r="K349" t="str">
        <f>IF(AND(data_tab[[#This Row],[Revenue]]="",data_tab[[#This Row],[Cost]]=""),"Remove",IF(OR(data_tab[[#This Row],[Revenue]]="",data_tab[[#This Row],[Cost]]=""),"Flag","Valid"))</f>
        <v>Valid</v>
      </c>
      <c r="L349" t="str">
        <f>IF((COUNTIFS(data_tab[Revenue],data_tab[[#This Row],[Revenue]],data_tab[Cost],data_tab[[#This Row],[Cost]]))&gt;1,"Duplicate","Unique")</f>
        <v>Unique</v>
      </c>
      <c r="M349">
        <f>data_tab[[#This Row],[Revenue]]-data_tab[[#This Row],[Cost]]</f>
        <v>63063.173918046203</v>
      </c>
      <c r="N349" t="str">
        <f>IF(data_tab[[#This Row],[Revenue]]&lt;0,"Return","Sale")</f>
        <v>Sale</v>
      </c>
    </row>
    <row r="350" spans="1:14" hidden="1">
      <c r="A350" s="1">
        <v>46071</v>
      </c>
      <c r="B350">
        <f>MONTH(data_tab[[#This Row],[Order Date]])</f>
        <v>2</v>
      </c>
      <c r="C350">
        <f>YEAR(data_tab[[#This Row],[Order Date]])</f>
        <v>2026</v>
      </c>
      <c r="D350" t="s">
        <v>29</v>
      </c>
      <c r="E350" t="s">
        <v>15</v>
      </c>
      <c r="F350" t="s">
        <v>24</v>
      </c>
      <c r="G350" t="s">
        <v>41</v>
      </c>
      <c r="H350">
        <v>10</v>
      </c>
      <c r="I350">
        <v>100750</v>
      </c>
      <c r="J350">
        <v>81492.450497580299</v>
      </c>
      <c r="K350" t="str">
        <f>IF(AND(data_tab[[#This Row],[Revenue]]="",data_tab[[#This Row],[Cost]]=""),"Remove",IF(OR(data_tab[[#This Row],[Revenue]]="",data_tab[[#This Row],[Cost]]=""),"Flag","Valid"))</f>
        <v>Valid</v>
      </c>
      <c r="L350" t="str">
        <f>IF((COUNTIFS(data_tab[Revenue],data_tab[[#This Row],[Revenue]],data_tab[Cost],data_tab[[#This Row],[Cost]]))&gt;1,"Duplicate","Unique")</f>
        <v>Unique</v>
      </c>
      <c r="M350">
        <f>data_tab[[#This Row],[Revenue]]-data_tab[[#This Row],[Cost]]</f>
        <v>19257.549502419701</v>
      </c>
      <c r="N350" t="str">
        <f>IF(data_tab[[#This Row],[Revenue]]&lt;0,"Return","Sale")</f>
        <v>Sale</v>
      </c>
    </row>
    <row r="351" spans="1:14" hidden="1">
      <c r="A351" s="1">
        <v>46057</v>
      </c>
      <c r="B351">
        <f>MONTH(data_tab[[#This Row],[Order Date]])</f>
        <v>2</v>
      </c>
      <c r="C351">
        <f>YEAR(data_tab[[#This Row],[Order Date]])</f>
        <v>2026</v>
      </c>
      <c r="D351" t="s">
        <v>14</v>
      </c>
      <c r="E351" t="s">
        <v>15</v>
      </c>
      <c r="F351" t="s">
        <v>24</v>
      </c>
      <c r="G351" t="s">
        <v>26</v>
      </c>
      <c r="H351">
        <v>7</v>
      </c>
      <c r="I351">
        <v>282422</v>
      </c>
      <c r="J351">
        <v>195767.24440229699</v>
      </c>
      <c r="K351" t="str">
        <f>IF(AND(data_tab[[#This Row],[Revenue]]="",data_tab[[#This Row],[Cost]]=""),"Remove",IF(OR(data_tab[[#This Row],[Revenue]]="",data_tab[[#This Row],[Cost]]=""),"Flag","Valid"))</f>
        <v>Valid</v>
      </c>
      <c r="L351" t="str">
        <f>IF((COUNTIFS(data_tab[Revenue],data_tab[[#This Row],[Revenue]],data_tab[Cost],data_tab[[#This Row],[Cost]]))&gt;1,"Duplicate","Unique")</f>
        <v>Unique</v>
      </c>
      <c r="M351">
        <f>data_tab[[#This Row],[Revenue]]-data_tab[[#This Row],[Cost]]</f>
        <v>86654.755597703013</v>
      </c>
      <c r="N351" t="str">
        <f>IF(data_tab[[#This Row],[Revenue]]&lt;0,"Return","Sale")</f>
        <v>Sale</v>
      </c>
    </row>
    <row r="352" spans="1:14">
      <c r="A352" s="1">
        <v>46171</v>
      </c>
      <c r="B352">
        <f>MONTH(data_tab[[#This Row],[Order Date]])</f>
        <v>5</v>
      </c>
      <c r="C352">
        <f>YEAR(data_tab[[#This Row],[Order Date]])</f>
        <v>2026</v>
      </c>
      <c r="D352" t="s">
        <v>23</v>
      </c>
      <c r="E352" t="s">
        <v>15</v>
      </c>
      <c r="F352" t="s">
        <v>21</v>
      </c>
      <c r="G352" t="s">
        <v>39</v>
      </c>
      <c r="H352">
        <v>7</v>
      </c>
      <c r="I352">
        <v>315637</v>
      </c>
      <c r="J352">
        <v>233640.31787383699</v>
      </c>
      <c r="K352" t="str">
        <f>IF(AND(data_tab[[#This Row],[Revenue]]="",data_tab[[#This Row],[Cost]]=""),"Remove",IF(OR(data_tab[[#This Row],[Revenue]]="",data_tab[[#This Row],[Cost]]=""),"Flag","Valid"))</f>
        <v>Valid</v>
      </c>
      <c r="L352" t="str">
        <f>IF((COUNTIFS(data_tab[Revenue],data_tab[[#This Row],[Revenue]],data_tab[Cost],data_tab[[#This Row],[Cost]]))&gt;1,"Duplicate","Unique")</f>
        <v>Unique</v>
      </c>
      <c r="M352">
        <f>data_tab[[#This Row],[Revenue]]-data_tab[[#This Row],[Cost]]</f>
        <v>81996.68212616301</v>
      </c>
      <c r="N352" t="str">
        <f>IF(data_tab[[#This Row],[Revenue]]&lt;0,"Return","Sale")</f>
        <v>Sale</v>
      </c>
    </row>
    <row r="353" spans="1:14" hidden="1">
      <c r="A353" s="1">
        <v>46178</v>
      </c>
      <c r="B353">
        <f>MONTH(data_tab[[#This Row],[Order Date]])</f>
        <v>6</v>
      </c>
      <c r="C353">
        <f>YEAR(data_tab[[#This Row],[Order Date]])</f>
        <v>2026</v>
      </c>
      <c r="D353" t="s">
        <v>35</v>
      </c>
      <c r="E353" t="s">
        <v>32</v>
      </c>
      <c r="F353" t="s">
        <v>36</v>
      </c>
      <c r="G353" t="s">
        <v>37</v>
      </c>
      <c r="H353">
        <v>5</v>
      </c>
      <c r="I353">
        <v>158385</v>
      </c>
      <c r="J353">
        <v>130179.59841935</v>
      </c>
      <c r="K353" t="str">
        <f>IF(AND(data_tab[[#This Row],[Revenue]]="",data_tab[[#This Row],[Cost]]=""),"Remove",IF(OR(data_tab[[#This Row],[Revenue]]="",data_tab[[#This Row],[Cost]]=""),"Flag","Valid"))</f>
        <v>Valid</v>
      </c>
      <c r="L353" t="str">
        <f>IF((COUNTIFS(data_tab[Revenue],data_tab[[#This Row],[Revenue]],data_tab[Cost],data_tab[[#This Row],[Cost]]))&gt;1,"Duplicate","Unique")</f>
        <v>Unique</v>
      </c>
      <c r="M353">
        <f>data_tab[[#This Row],[Revenue]]-data_tab[[#This Row],[Cost]]</f>
        <v>28205.401580649996</v>
      </c>
      <c r="N353" t="str">
        <f>IF(data_tab[[#This Row],[Revenue]]&lt;0,"Return","Sale")</f>
        <v>Sale</v>
      </c>
    </row>
    <row r="354" spans="1:14">
      <c r="A354" s="1">
        <v>46154</v>
      </c>
      <c r="B354">
        <f>MONTH(data_tab[[#This Row],[Order Date]])</f>
        <v>5</v>
      </c>
      <c r="C354">
        <f>YEAR(data_tab[[#This Row],[Order Date]])</f>
        <v>2026</v>
      </c>
      <c r="D354" t="s">
        <v>23</v>
      </c>
      <c r="E354" t="s">
        <v>15</v>
      </c>
      <c r="F354" t="s">
        <v>16</v>
      </c>
      <c r="G354" t="s">
        <v>41</v>
      </c>
      <c r="H354">
        <v>9</v>
      </c>
      <c r="I354">
        <v>391104</v>
      </c>
      <c r="J354">
        <v>229553.41736824601</v>
      </c>
      <c r="K354" t="str">
        <f>IF(AND(data_tab[[#This Row],[Revenue]]="",data_tab[[#This Row],[Cost]]=""),"Remove",IF(OR(data_tab[[#This Row],[Revenue]]="",data_tab[[#This Row],[Cost]]=""),"Flag","Valid"))</f>
        <v>Valid</v>
      </c>
      <c r="L354" t="str">
        <f>IF((COUNTIFS(data_tab[Revenue],data_tab[[#This Row],[Revenue]],data_tab[Cost],data_tab[[#This Row],[Cost]]))&gt;1,"Duplicate","Unique")</f>
        <v>Unique</v>
      </c>
      <c r="M354">
        <f>data_tab[[#This Row],[Revenue]]-data_tab[[#This Row],[Cost]]</f>
        <v>161550.58263175399</v>
      </c>
      <c r="N354" t="str">
        <f>IF(data_tab[[#This Row],[Revenue]]&lt;0,"Return","Sale")</f>
        <v>Sale</v>
      </c>
    </row>
    <row r="355" spans="1:14" hidden="1">
      <c r="A355" s="1">
        <v>46195</v>
      </c>
      <c r="B355">
        <f>MONTH(data_tab[[#This Row],[Order Date]])</f>
        <v>6</v>
      </c>
      <c r="C355">
        <f>YEAR(data_tab[[#This Row],[Order Date]])</f>
        <v>2026</v>
      </c>
      <c r="D355" t="s">
        <v>14</v>
      </c>
      <c r="E355" t="s">
        <v>15</v>
      </c>
      <c r="F355" t="s">
        <v>21</v>
      </c>
      <c r="G355" t="s">
        <v>26</v>
      </c>
      <c r="H355">
        <v>9</v>
      </c>
      <c r="I355">
        <v>427518</v>
      </c>
      <c r="J355">
        <v>322669.62687987002</v>
      </c>
      <c r="K355" t="str">
        <f>IF(AND(data_tab[[#This Row],[Revenue]]="",data_tab[[#This Row],[Cost]]=""),"Remove",IF(OR(data_tab[[#This Row],[Revenue]]="",data_tab[[#This Row],[Cost]]=""),"Flag","Valid"))</f>
        <v>Valid</v>
      </c>
      <c r="L355" t="str">
        <f>IF((COUNTIFS(data_tab[Revenue],data_tab[[#This Row],[Revenue]],data_tab[Cost],data_tab[[#This Row],[Cost]]))&gt;1,"Duplicate","Unique")</f>
        <v>Unique</v>
      </c>
      <c r="M355">
        <f>data_tab[[#This Row],[Revenue]]-data_tab[[#This Row],[Cost]]</f>
        <v>104848.37312012998</v>
      </c>
      <c r="N355" t="str">
        <f>IF(data_tab[[#This Row],[Revenue]]&lt;0,"Return","Sale")</f>
        <v>Sale</v>
      </c>
    </row>
    <row r="356" spans="1:14">
      <c r="A356" s="1">
        <v>46172</v>
      </c>
      <c r="B356">
        <f>MONTH(data_tab[[#This Row],[Order Date]])</f>
        <v>5</v>
      </c>
      <c r="C356">
        <f>YEAR(data_tab[[#This Row],[Order Date]])</f>
        <v>2026</v>
      </c>
      <c r="D356" t="s">
        <v>29</v>
      </c>
      <c r="E356" t="s">
        <v>15</v>
      </c>
      <c r="F356" t="s">
        <v>16</v>
      </c>
      <c r="G356" t="s">
        <v>33</v>
      </c>
      <c r="H356">
        <v>1</v>
      </c>
      <c r="I356">
        <v>36257</v>
      </c>
      <c r="J356">
        <v>19672.619872105901</v>
      </c>
      <c r="K356" t="str">
        <f>IF(AND(data_tab[[#This Row],[Revenue]]="",data_tab[[#This Row],[Cost]]=""),"Remove",IF(OR(data_tab[[#This Row],[Revenue]]="",data_tab[[#This Row],[Cost]]=""),"Flag","Valid"))</f>
        <v>Valid</v>
      </c>
      <c r="L356" t="str">
        <f>IF((COUNTIFS(data_tab[Revenue],data_tab[[#This Row],[Revenue]],data_tab[Cost],data_tab[[#This Row],[Cost]]))&gt;1,"Duplicate","Unique")</f>
        <v>Unique</v>
      </c>
      <c r="M356">
        <f>data_tab[[#This Row],[Revenue]]-data_tab[[#This Row],[Cost]]</f>
        <v>16584.380127894099</v>
      </c>
      <c r="N356" t="str">
        <f>IF(data_tab[[#This Row],[Revenue]]&lt;0,"Return","Sale")</f>
        <v>Sale</v>
      </c>
    </row>
    <row r="357" spans="1:14" hidden="1">
      <c r="A357" s="1">
        <v>46091</v>
      </c>
      <c r="B357">
        <f>MONTH(data_tab[[#This Row],[Order Date]])</f>
        <v>3</v>
      </c>
      <c r="C357">
        <f>YEAR(data_tab[[#This Row],[Order Date]])</f>
        <v>2026</v>
      </c>
      <c r="D357" t="s">
        <v>35</v>
      </c>
      <c r="E357" t="s">
        <v>32</v>
      </c>
      <c r="F357" t="s">
        <v>16</v>
      </c>
      <c r="G357" t="s">
        <v>17</v>
      </c>
      <c r="H357">
        <v>1</v>
      </c>
      <c r="I357">
        <v>47258</v>
      </c>
      <c r="J357">
        <v>38455.864821588199</v>
      </c>
      <c r="K357" t="str">
        <f>IF(AND(data_tab[[#This Row],[Revenue]]="",data_tab[[#This Row],[Cost]]=""),"Remove",IF(OR(data_tab[[#This Row],[Revenue]]="",data_tab[[#This Row],[Cost]]=""),"Flag","Valid"))</f>
        <v>Valid</v>
      </c>
      <c r="L357" t="str">
        <f>IF((COUNTIFS(data_tab[Revenue],data_tab[[#This Row],[Revenue]],data_tab[Cost],data_tab[[#This Row],[Cost]]))&gt;1,"Duplicate","Unique")</f>
        <v>Unique</v>
      </c>
      <c r="M357">
        <f>data_tab[[#This Row],[Revenue]]-data_tab[[#This Row],[Cost]]</f>
        <v>8802.1351784118015</v>
      </c>
      <c r="N357" t="str">
        <f>IF(data_tab[[#This Row],[Revenue]]&lt;0,"Return","Sale")</f>
        <v>Sale</v>
      </c>
    </row>
    <row r="358" spans="1:14" hidden="1">
      <c r="A358" s="1">
        <v>46138</v>
      </c>
      <c r="B358">
        <f>MONTH(data_tab[[#This Row],[Order Date]])</f>
        <v>4</v>
      </c>
      <c r="C358">
        <f>YEAR(data_tab[[#This Row],[Order Date]])</f>
        <v>2026</v>
      </c>
      <c r="D358" t="s">
        <v>23</v>
      </c>
      <c r="E358" t="s">
        <v>15</v>
      </c>
      <c r="F358" t="s">
        <v>21</v>
      </c>
      <c r="G358" t="s">
        <v>41</v>
      </c>
      <c r="H358">
        <v>9</v>
      </c>
      <c r="I358">
        <v>247374</v>
      </c>
      <c r="J358">
        <v>147196.97697223601</v>
      </c>
      <c r="K358" t="str">
        <f>IF(AND(data_tab[[#This Row],[Revenue]]="",data_tab[[#This Row],[Cost]]=""),"Remove",IF(OR(data_tab[[#This Row],[Revenue]]="",data_tab[[#This Row],[Cost]]=""),"Flag","Valid"))</f>
        <v>Valid</v>
      </c>
      <c r="L358" t="str">
        <f>IF((COUNTIFS(data_tab[Revenue],data_tab[[#This Row],[Revenue]],data_tab[Cost],data_tab[[#This Row],[Cost]]))&gt;1,"Duplicate","Unique")</f>
        <v>Unique</v>
      </c>
      <c r="M358">
        <f>data_tab[[#This Row],[Revenue]]-data_tab[[#This Row],[Cost]]</f>
        <v>100177.02302776399</v>
      </c>
      <c r="N358" t="str">
        <f>IF(data_tab[[#This Row],[Revenue]]&lt;0,"Return","Sale")</f>
        <v>Sale</v>
      </c>
    </row>
    <row r="359" spans="1:14" hidden="1">
      <c r="A359" s="1">
        <v>46193</v>
      </c>
      <c r="B359">
        <f>MONTH(data_tab[[#This Row],[Order Date]])</f>
        <v>6</v>
      </c>
      <c r="C359">
        <f>YEAR(data_tab[[#This Row],[Order Date]])</f>
        <v>2026</v>
      </c>
      <c r="D359" t="s">
        <v>29</v>
      </c>
      <c r="E359" t="s">
        <v>15</v>
      </c>
      <c r="F359" t="s">
        <v>36</v>
      </c>
      <c r="G359" t="s">
        <v>33</v>
      </c>
      <c r="H359">
        <v>6</v>
      </c>
      <c r="I359">
        <v>229104</v>
      </c>
      <c r="J359">
        <v>119482.518986589</v>
      </c>
      <c r="K359" t="str">
        <f>IF(AND(data_tab[[#This Row],[Revenue]]="",data_tab[[#This Row],[Cost]]=""),"Remove",IF(OR(data_tab[[#This Row],[Revenue]]="",data_tab[[#This Row],[Cost]]=""),"Flag","Valid"))</f>
        <v>Valid</v>
      </c>
      <c r="L359" t="str">
        <f>IF((COUNTIFS(data_tab[Revenue],data_tab[[#This Row],[Revenue]],data_tab[Cost],data_tab[[#This Row],[Cost]]))&gt;1,"Duplicate","Unique")</f>
        <v>Unique</v>
      </c>
      <c r="M359">
        <f>data_tab[[#This Row],[Revenue]]-data_tab[[#This Row],[Cost]]</f>
        <v>109621.481013411</v>
      </c>
      <c r="N359" t="str">
        <f>IF(data_tab[[#This Row],[Revenue]]&lt;0,"Return","Sale")</f>
        <v>Sale</v>
      </c>
    </row>
    <row r="360" spans="1:14" hidden="1">
      <c r="A360" s="1">
        <v>46136</v>
      </c>
      <c r="B360">
        <f>MONTH(data_tab[[#This Row],[Order Date]])</f>
        <v>4</v>
      </c>
      <c r="C360">
        <f>YEAR(data_tab[[#This Row],[Order Date]])</f>
        <v>2026</v>
      </c>
      <c r="D360" t="s">
        <v>14</v>
      </c>
      <c r="E360" t="s">
        <v>15</v>
      </c>
      <c r="F360" t="s">
        <v>16</v>
      </c>
      <c r="G360" t="s">
        <v>26</v>
      </c>
      <c r="H360">
        <v>9</v>
      </c>
      <c r="I360">
        <v>373887</v>
      </c>
      <c r="J360">
        <v>216326.39422888201</v>
      </c>
      <c r="K360" t="str">
        <f>IF(AND(data_tab[[#This Row],[Revenue]]="",data_tab[[#This Row],[Cost]]=""),"Remove",IF(OR(data_tab[[#This Row],[Revenue]]="",data_tab[[#This Row],[Cost]]=""),"Flag","Valid"))</f>
        <v>Valid</v>
      </c>
      <c r="L360" t="str">
        <f>IF((COUNTIFS(data_tab[Revenue],data_tab[[#This Row],[Revenue]],data_tab[Cost],data_tab[[#This Row],[Cost]]))&gt;1,"Duplicate","Unique")</f>
        <v>Unique</v>
      </c>
      <c r="M360">
        <f>data_tab[[#This Row],[Revenue]]-data_tab[[#This Row],[Cost]]</f>
        <v>157560.60577111799</v>
      </c>
      <c r="N360" t="str">
        <f>IF(data_tab[[#This Row],[Revenue]]&lt;0,"Return","Sale")</f>
        <v>Sale</v>
      </c>
    </row>
    <row r="361" spans="1:14" hidden="1">
      <c r="A361" s="1">
        <v>46197</v>
      </c>
      <c r="B361">
        <f>MONTH(data_tab[[#This Row],[Order Date]])</f>
        <v>6</v>
      </c>
      <c r="C361">
        <f>YEAR(data_tab[[#This Row],[Order Date]])</f>
        <v>2026</v>
      </c>
      <c r="D361" t="s">
        <v>31</v>
      </c>
      <c r="E361" t="s">
        <v>32</v>
      </c>
      <c r="F361" t="s">
        <v>24</v>
      </c>
      <c r="G361" t="s">
        <v>33</v>
      </c>
      <c r="H361">
        <v>1</v>
      </c>
      <c r="I361">
        <v>30082</v>
      </c>
      <c r="J361">
        <v>18399.501837389402</v>
      </c>
      <c r="K361" t="str">
        <f>IF(AND(data_tab[[#This Row],[Revenue]]="",data_tab[[#This Row],[Cost]]=""),"Remove",IF(OR(data_tab[[#This Row],[Revenue]]="",data_tab[[#This Row],[Cost]]=""),"Flag","Valid"))</f>
        <v>Valid</v>
      </c>
      <c r="L361" t="str">
        <f>IF((COUNTIFS(data_tab[Revenue],data_tab[[#This Row],[Revenue]],data_tab[Cost],data_tab[[#This Row],[Cost]]))&gt;1,"Duplicate","Unique")</f>
        <v>Unique</v>
      </c>
      <c r="M361">
        <f>data_tab[[#This Row],[Revenue]]-data_tab[[#This Row],[Cost]]</f>
        <v>11682.498162610598</v>
      </c>
      <c r="N361" t="str">
        <f>IF(data_tab[[#This Row],[Revenue]]&lt;0,"Return","Sale")</f>
        <v>Sale</v>
      </c>
    </row>
    <row r="362" spans="1:14" hidden="1">
      <c r="A362" s="1">
        <v>46024</v>
      </c>
      <c r="B362">
        <f>MONTH(data_tab[[#This Row],[Order Date]])</f>
        <v>1</v>
      </c>
      <c r="C362">
        <f>YEAR(data_tab[[#This Row],[Order Date]])</f>
        <v>2026</v>
      </c>
      <c r="D362" t="s">
        <v>31</v>
      </c>
      <c r="E362" t="s">
        <v>32</v>
      </c>
      <c r="F362" t="s">
        <v>24</v>
      </c>
      <c r="G362" t="s">
        <v>17</v>
      </c>
      <c r="H362">
        <v>6</v>
      </c>
      <c r="I362">
        <v>246702</v>
      </c>
      <c r="J362">
        <v>128369.45562149701</v>
      </c>
      <c r="K362" t="str">
        <f>IF(AND(data_tab[[#This Row],[Revenue]]="",data_tab[[#This Row],[Cost]]=""),"Remove",IF(OR(data_tab[[#This Row],[Revenue]]="",data_tab[[#This Row],[Cost]]=""),"Flag","Valid"))</f>
        <v>Valid</v>
      </c>
      <c r="L362" t="str">
        <f>IF((COUNTIFS(data_tab[Revenue],data_tab[[#This Row],[Revenue]],data_tab[Cost],data_tab[[#This Row],[Cost]]))&gt;1,"Duplicate","Unique")</f>
        <v>Unique</v>
      </c>
      <c r="M362">
        <f>data_tab[[#This Row],[Revenue]]-data_tab[[#This Row],[Cost]]</f>
        <v>118332.54437850299</v>
      </c>
      <c r="N362" t="str">
        <f>IF(data_tab[[#This Row],[Revenue]]&lt;0,"Return","Sale")</f>
        <v>Sale</v>
      </c>
    </row>
    <row r="363" spans="1:14">
      <c r="A363" s="1">
        <v>46148</v>
      </c>
      <c r="B363">
        <f>MONTH(data_tab[[#This Row],[Order Date]])</f>
        <v>5</v>
      </c>
      <c r="C363">
        <f>YEAR(data_tab[[#This Row],[Order Date]])</f>
        <v>2026</v>
      </c>
      <c r="D363" t="s">
        <v>20</v>
      </c>
      <c r="E363" t="s">
        <v>15</v>
      </c>
      <c r="F363" t="s">
        <v>16</v>
      </c>
      <c r="G363" t="s">
        <v>26</v>
      </c>
      <c r="H363">
        <v>4</v>
      </c>
      <c r="I363">
        <v>56200</v>
      </c>
      <c r="J363">
        <v>39803.229339216698</v>
      </c>
      <c r="K363" t="str">
        <f>IF(AND(data_tab[[#This Row],[Revenue]]="",data_tab[[#This Row],[Cost]]=""),"Remove",IF(OR(data_tab[[#This Row],[Revenue]]="",data_tab[[#This Row],[Cost]]=""),"Flag","Valid"))</f>
        <v>Valid</v>
      </c>
      <c r="L363" t="str">
        <f>IF((COUNTIFS(data_tab[Revenue],data_tab[[#This Row],[Revenue]],data_tab[Cost],data_tab[[#This Row],[Cost]]))&gt;1,"Duplicate","Unique")</f>
        <v>Unique</v>
      </c>
      <c r="M363">
        <f>data_tab[[#This Row],[Revenue]]-data_tab[[#This Row],[Cost]]</f>
        <v>16396.770660783302</v>
      </c>
      <c r="N363" t="str">
        <f>IF(data_tab[[#This Row],[Revenue]]&lt;0,"Return","Sale")</f>
        <v>Sale</v>
      </c>
    </row>
    <row r="364" spans="1:14" hidden="1">
      <c r="A364" s="1">
        <v>46126</v>
      </c>
      <c r="B364">
        <f>MONTH(data_tab[[#This Row],[Order Date]])</f>
        <v>4</v>
      </c>
      <c r="C364">
        <f>YEAR(data_tab[[#This Row],[Order Date]])</f>
        <v>2026</v>
      </c>
      <c r="D364" t="s">
        <v>31</v>
      </c>
      <c r="E364" t="s">
        <v>32</v>
      </c>
      <c r="F364" t="s">
        <v>21</v>
      </c>
      <c r="G364" t="s">
        <v>41</v>
      </c>
      <c r="H364">
        <v>6</v>
      </c>
      <c r="I364">
        <v>142176</v>
      </c>
      <c r="J364">
        <v>91606.716607699404</v>
      </c>
      <c r="K364" t="str">
        <f>IF(AND(data_tab[[#This Row],[Revenue]]="",data_tab[[#This Row],[Cost]]=""),"Remove",IF(OR(data_tab[[#This Row],[Revenue]]="",data_tab[[#This Row],[Cost]]=""),"Flag","Valid"))</f>
        <v>Valid</v>
      </c>
      <c r="L364" t="str">
        <f>IF((COUNTIFS(data_tab[Revenue],data_tab[[#This Row],[Revenue]],data_tab[Cost],data_tab[[#This Row],[Cost]]))&gt;1,"Duplicate","Unique")</f>
        <v>Unique</v>
      </c>
      <c r="M364">
        <f>data_tab[[#This Row],[Revenue]]-data_tab[[#This Row],[Cost]]</f>
        <v>50569.283392300596</v>
      </c>
      <c r="N364" t="str">
        <f>IF(data_tab[[#This Row],[Revenue]]&lt;0,"Return","Sale")</f>
        <v>Sale</v>
      </c>
    </row>
    <row r="365" spans="1:14">
      <c r="A365" s="1">
        <v>46166</v>
      </c>
      <c r="B365">
        <f>MONTH(data_tab[[#This Row],[Order Date]])</f>
        <v>5</v>
      </c>
      <c r="C365">
        <f>YEAR(data_tab[[#This Row],[Order Date]])</f>
        <v>2026</v>
      </c>
      <c r="D365" t="s">
        <v>20</v>
      </c>
      <c r="E365" t="s">
        <v>15</v>
      </c>
      <c r="F365" t="s">
        <v>24</v>
      </c>
      <c r="G365" t="s">
        <v>41</v>
      </c>
      <c r="H365">
        <v>6</v>
      </c>
      <c r="I365">
        <v>187242</v>
      </c>
      <c r="J365">
        <v>111622.28683164599</v>
      </c>
      <c r="K365" t="str">
        <f>IF(AND(data_tab[[#This Row],[Revenue]]="",data_tab[[#This Row],[Cost]]=""),"Remove",IF(OR(data_tab[[#This Row],[Revenue]]="",data_tab[[#This Row],[Cost]]=""),"Flag","Valid"))</f>
        <v>Valid</v>
      </c>
      <c r="L365" t="str">
        <f>IF((COUNTIFS(data_tab[Revenue],data_tab[[#This Row],[Revenue]],data_tab[Cost],data_tab[[#This Row],[Cost]]))&gt;1,"Duplicate","Unique")</f>
        <v>Unique</v>
      </c>
      <c r="M365">
        <f>data_tab[[#This Row],[Revenue]]-data_tab[[#This Row],[Cost]]</f>
        <v>75619.713168354006</v>
      </c>
      <c r="N365" t="str">
        <f>IF(data_tab[[#This Row],[Revenue]]&lt;0,"Return","Sale")</f>
        <v>Sale</v>
      </c>
    </row>
    <row r="366" spans="1:14" hidden="1">
      <c r="A366" s="1">
        <v>46033</v>
      </c>
      <c r="B366">
        <f>MONTH(data_tab[[#This Row],[Order Date]])</f>
        <v>1</v>
      </c>
      <c r="C366">
        <f>YEAR(data_tab[[#This Row],[Order Date]])</f>
        <v>2026</v>
      </c>
      <c r="D366" t="s">
        <v>23</v>
      </c>
      <c r="E366" t="s">
        <v>15</v>
      </c>
      <c r="F366" t="s">
        <v>24</v>
      </c>
      <c r="G366" t="s">
        <v>33</v>
      </c>
      <c r="H366">
        <v>5</v>
      </c>
      <c r="J366">
        <v>147669.16731093699</v>
      </c>
      <c r="K366" t="str">
        <f>IF(AND(data_tab[[#This Row],[Revenue]]="",data_tab[[#This Row],[Cost]]=""),"Remove",IF(OR(data_tab[[#This Row],[Revenue]]="",data_tab[[#This Row],[Cost]]=""),"Flag","Valid"))</f>
        <v>Flag</v>
      </c>
      <c r="L366" t="str">
        <f>IF((COUNTIFS(data_tab[Revenue],data_tab[[#This Row],[Revenue]],data_tab[Cost],data_tab[[#This Row],[Cost]]))&gt;1,"Duplicate","Unique")</f>
        <v>Unique</v>
      </c>
      <c r="M366">
        <f>data_tab[[#This Row],[Revenue]]-data_tab[[#This Row],[Cost]]</f>
        <v>-147669.16731093699</v>
      </c>
      <c r="N366" t="str">
        <f>IF(data_tab[[#This Row],[Revenue]]&lt;0,"Return","Sale")</f>
        <v>Sale</v>
      </c>
    </row>
    <row r="367" spans="1:14">
      <c r="A367" s="1">
        <v>46154</v>
      </c>
      <c r="B367">
        <f>MONTH(data_tab[[#This Row],[Order Date]])</f>
        <v>5</v>
      </c>
      <c r="C367">
        <f>YEAR(data_tab[[#This Row],[Order Date]])</f>
        <v>2026</v>
      </c>
      <c r="D367" t="s">
        <v>20</v>
      </c>
      <c r="E367" t="s">
        <v>15</v>
      </c>
      <c r="F367" t="s">
        <v>16</v>
      </c>
      <c r="G367" t="s">
        <v>41</v>
      </c>
      <c r="H367">
        <v>4</v>
      </c>
      <c r="I367">
        <v>91968</v>
      </c>
      <c r="J367">
        <v>64888.747112527897</v>
      </c>
      <c r="K367" t="str">
        <f>IF(AND(data_tab[[#This Row],[Revenue]]="",data_tab[[#This Row],[Cost]]=""),"Remove",IF(OR(data_tab[[#This Row],[Revenue]]="",data_tab[[#This Row],[Cost]]=""),"Flag","Valid"))</f>
        <v>Valid</v>
      </c>
      <c r="L367" t="str">
        <f>IF((COUNTIFS(data_tab[Revenue],data_tab[[#This Row],[Revenue]],data_tab[Cost],data_tab[[#This Row],[Cost]]))&gt;1,"Duplicate","Unique")</f>
        <v>Unique</v>
      </c>
      <c r="M367">
        <f>data_tab[[#This Row],[Revenue]]-data_tab[[#This Row],[Cost]]</f>
        <v>27079.252887472103</v>
      </c>
      <c r="N367" t="str">
        <f>IF(data_tab[[#This Row],[Revenue]]&lt;0,"Return","Sale")</f>
        <v>Sale</v>
      </c>
    </row>
    <row r="368" spans="1:14">
      <c r="A368" s="1">
        <v>46160</v>
      </c>
      <c r="B368">
        <f>MONTH(data_tab[[#This Row],[Order Date]])</f>
        <v>5</v>
      </c>
      <c r="C368">
        <f>YEAR(data_tab[[#This Row],[Order Date]])</f>
        <v>2026</v>
      </c>
      <c r="D368" t="s">
        <v>31</v>
      </c>
      <c r="E368" t="s">
        <v>32</v>
      </c>
      <c r="F368" t="s">
        <v>21</v>
      </c>
      <c r="G368" t="s">
        <v>41</v>
      </c>
      <c r="H368">
        <v>7</v>
      </c>
      <c r="I368">
        <v>61670</v>
      </c>
      <c r="J368">
        <v>35906.236782977801</v>
      </c>
      <c r="K368" t="str">
        <f>IF(AND(data_tab[[#This Row],[Revenue]]="",data_tab[[#This Row],[Cost]]=""),"Remove",IF(OR(data_tab[[#This Row],[Revenue]]="",data_tab[[#This Row],[Cost]]=""),"Flag","Valid"))</f>
        <v>Valid</v>
      </c>
      <c r="L368" t="str">
        <f>IF((COUNTIFS(data_tab[Revenue],data_tab[[#This Row],[Revenue]],data_tab[Cost],data_tab[[#This Row],[Cost]]))&gt;1,"Duplicate","Unique")</f>
        <v>Unique</v>
      </c>
      <c r="M368">
        <f>data_tab[[#This Row],[Revenue]]-data_tab[[#This Row],[Cost]]</f>
        <v>25763.763217022199</v>
      </c>
      <c r="N368" t="str">
        <f>IF(data_tab[[#This Row],[Revenue]]&lt;0,"Return","Sale")</f>
        <v>Sale</v>
      </c>
    </row>
    <row r="369" spans="1:14" hidden="1">
      <c r="A369" s="1">
        <v>46134</v>
      </c>
      <c r="B369">
        <f>MONTH(data_tab[[#This Row],[Order Date]])</f>
        <v>4</v>
      </c>
      <c r="C369">
        <f>YEAR(data_tab[[#This Row],[Order Date]])</f>
        <v>2026</v>
      </c>
      <c r="D369" t="s">
        <v>14</v>
      </c>
      <c r="E369" t="s">
        <v>15</v>
      </c>
      <c r="F369" t="s">
        <v>21</v>
      </c>
      <c r="G369" t="s">
        <v>39</v>
      </c>
      <c r="H369">
        <v>8</v>
      </c>
      <c r="I369">
        <v>391840</v>
      </c>
      <c r="J369">
        <v>247911.74108924001</v>
      </c>
      <c r="K369" t="str">
        <f>IF(AND(data_tab[[#This Row],[Revenue]]="",data_tab[[#This Row],[Cost]]=""),"Remove",IF(OR(data_tab[[#This Row],[Revenue]]="",data_tab[[#This Row],[Cost]]=""),"Flag","Valid"))</f>
        <v>Valid</v>
      </c>
      <c r="L369" t="str">
        <f>IF((COUNTIFS(data_tab[Revenue],data_tab[[#This Row],[Revenue]],data_tab[Cost],data_tab[[#This Row],[Cost]]))&gt;1,"Duplicate","Unique")</f>
        <v>Unique</v>
      </c>
      <c r="M369">
        <f>data_tab[[#This Row],[Revenue]]-data_tab[[#This Row],[Cost]]</f>
        <v>143928.25891075999</v>
      </c>
      <c r="N369" t="str">
        <f>IF(data_tab[[#This Row],[Revenue]]&lt;0,"Return","Sale")</f>
        <v>Sale</v>
      </c>
    </row>
    <row r="370" spans="1:14">
      <c r="A370" s="1">
        <v>46165</v>
      </c>
      <c r="B370">
        <f>MONTH(data_tab[[#This Row],[Order Date]])</f>
        <v>5</v>
      </c>
      <c r="C370">
        <f>YEAR(data_tab[[#This Row],[Order Date]])</f>
        <v>2026</v>
      </c>
      <c r="D370" t="s">
        <v>23</v>
      </c>
      <c r="E370" t="s">
        <v>15</v>
      </c>
      <c r="F370" t="s">
        <v>21</v>
      </c>
      <c r="G370" t="s">
        <v>37</v>
      </c>
      <c r="H370">
        <v>7</v>
      </c>
      <c r="I370">
        <v>192010</v>
      </c>
      <c r="J370">
        <v>130653.255478197</v>
      </c>
      <c r="K370" t="str">
        <f>IF(AND(data_tab[[#This Row],[Revenue]]="",data_tab[[#This Row],[Cost]]=""),"Remove",IF(OR(data_tab[[#This Row],[Revenue]]="",data_tab[[#This Row],[Cost]]=""),"Flag","Valid"))</f>
        <v>Valid</v>
      </c>
      <c r="L370" t="str">
        <f>IF((COUNTIFS(data_tab[Revenue],data_tab[[#This Row],[Revenue]],data_tab[Cost],data_tab[[#This Row],[Cost]]))&gt;1,"Duplicate","Unique")</f>
        <v>Unique</v>
      </c>
      <c r="M370">
        <f>data_tab[[#This Row],[Revenue]]-data_tab[[#This Row],[Cost]]</f>
        <v>61356.744521803004</v>
      </c>
      <c r="N370" t="str">
        <f>IF(data_tab[[#This Row],[Revenue]]&lt;0,"Return","Sale")</f>
        <v>Sale</v>
      </c>
    </row>
    <row r="371" spans="1:14" hidden="1">
      <c r="A371" s="1">
        <v>46053</v>
      </c>
      <c r="B371">
        <f>MONTH(data_tab[[#This Row],[Order Date]])</f>
        <v>1</v>
      </c>
      <c r="C371">
        <f>YEAR(data_tab[[#This Row],[Order Date]])</f>
        <v>2026</v>
      </c>
      <c r="D371" t="s">
        <v>40</v>
      </c>
      <c r="E371" t="s">
        <v>15</v>
      </c>
      <c r="F371" t="s">
        <v>24</v>
      </c>
      <c r="G371" t="s">
        <v>41</v>
      </c>
      <c r="H371">
        <v>10</v>
      </c>
      <c r="I371">
        <v>49820</v>
      </c>
      <c r="J371">
        <v>38877.177121400397</v>
      </c>
      <c r="K371" t="str">
        <f>IF(AND(data_tab[[#This Row],[Revenue]]="",data_tab[[#This Row],[Cost]]=""),"Remove",IF(OR(data_tab[[#This Row],[Revenue]]="",data_tab[[#This Row],[Cost]]=""),"Flag","Valid"))</f>
        <v>Valid</v>
      </c>
      <c r="L371" t="str">
        <f>IF((COUNTIFS(data_tab[Revenue],data_tab[[#This Row],[Revenue]],data_tab[Cost],data_tab[[#This Row],[Cost]]))&gt;1,"Duplicate","Unique")</f>
        <v>Unique</v>
      </c>
      <c r="M371">
        <f>data_tab[[#This Row],[Revenue]]-data_tab[[#This Row],[Cost]]</f>
        <v>10942.822878599603</v>
      </c>
      <c r="N371" t="str">
        <f>IF(data_tab[[#This Row],[Revenue]]&lt;0,"Return","Sale")</f>
        <v>Sale</v>
      </c>
    </row>
    <row r="372" spans="1:14" hidden="1">
      <c r="A372" s="1">
        <v>46198</v>
      </c>
      <c r="B372">
        <f>MONTH(data_tab[[#This Row],[Order Date]])</f>
        <v>6</v>
      </c>
      <c r="C372">
        <f>YEAR(data_tab[[#This Row],[Order Date]])</f>
        <v>2026</v>
      </c>
      <c r="D372" t="s">
        <v>23</v>
      </c>
      <c r="E372" t="s">
        <v>15</v>
      </c>
      <c r="F372" t="s">
        <v>36</v>
      </c>
      <c r="G372" t="s">
        <v>33</v>
      </c>
      <c r="H372">
        <v>7</v>
      </c>
      <c r="I372">
        <v>317107</v>
      </c>
      <c r="J372">
        <v>162462.68745170999</v>
      </c>
      <c r="K372" t="str">
        <f>IF(AND(data_tab[[#This Row],[Revenue]]="",data_tab[[#This Row],[Cost]]=""),"Remove",IF(OR(data_tab[[#This Row],[Revenue]]="",data_tab[[#This Row],[Cost]]=""),"Flag","Valid"))</f>
        <v>Valid</v>
      </c>
      <c r="L372" t="str">
        <f>IF((COUNTIFS(data_tab[Revenue],data_tab[[#This Row],[Revenue]],data_tab[Cost],data_tab[[#This Row],[Cost]]))&gt;1,"Duplicate","Unique")</f>
        <v>Duplicate</v>
      </c>
      <c r="M372">
        <f>data_tab[[#This Row],[Revenue]]-data_tab[[#This Row],[Cost]]</f>
        <v>154644.31254829001</v>
      </c>
      <c r="N372" t="str">
        <f>IF(data_tab[[#This Row],[Revenue]]&lt;0,"Return","Sale")</f>
        <v>Sale</v>
      </c>
    </row>
    <row r="373" spans="1:14">
      <c r="A373" s="1">
        <v>46162</v>
      </c>
      <c r="B373">
        <f>MONTH(data_tab[[#This Row],[Order Date]])</f>
        <v>5</v>
      </c>
      <c r="C373">
        <f>YEAR(data_tab[[#This Row],[Order Date]])</f>
        <v>2026</v>
      </c>
      <c r="D373" t="s">
        <v>35</v>
      </c>
      <c r="E373" t="s">
        <v>32</v>
      </c>
      <c r="F373" t="s">
        <v>16</v>
      </c>
      <c r="G373" t="s">
        <v>39</v>
      </c>
      <c r="H373">
        <v>9</v>
      </c>
      <c r="J373">
        <v>192228.317510758</v>
      </c>
      <c r="K373" t="str">
        <f>IF(AND(data_tab[[#This Row],[Revenue]]="",data_tab[[#This Row],[Cost]]=""),"Remove",IF(OR(data_tab[[#This Row],[Revenue]]="",data_tab[[#This Row],[Cost]]=""),"Flag","Valid"))</f>
        <v>Flag</v>
      </c>
      <c r="L373" t="str">
        <f>IF((COUNTIFS(data_tab[Revenue],data_tab[[#This Row],[Revenue]],data_tab[Cost],data_tab[[#This Row],[Cost]]))&gt;1,"Duplicate","Unique")</f>
        <v>Unique</v>
      </c>
      <c r="M373">
        <f>data_tab[[#This Row],[Revenue]]-data_tab[[#This Row],[Cost]]</f>
        <v>-192228.317510758</v>
      </c>
      <c r="N373" t="str">
        <f>IF(data_tab[[#This Row],[Revenue]]&lt;0,"Return","Sale")</f>
        <v>Sale</v>
      </c>
    </row>
    <row r="374" spans="1:14">
      <c r="A374" s="1">
        <v>46163</v>
      </c>
      <c r="B374">
        <f>MONTH(data_tab[[#This Row],[Order Date]])</f>
        <v>5</v>
      </c>
      <c r="C374">
        <f>YEAR(data_tab[[#This Row],[Order Date]])</f>
        <v>2026</v>
      </c>
      <c r="D374" t="s">
        <v>14</v>
      </c>
      <c r="E374" t="s">
        <v>15</v>
      </c>
      <c r="F374" t="s">
        <v>16</v>
      </c>
      <c r="G374" t="s">
        <v>17</v>
      </c>
      <c r="H374">
        <v>7</v>
      </c>
      <c r="I374">
        <v>310317</v>
      </c>
      <c r="J374">
        <v>260847.36254870199</v>
      </c>
      <c r="K374" t="str">
        <f>IF(AND(data_tab[[#This Row],[Revenue]]="",data_tab[[#This Row],[Cost]]=""),"Remove",IF(OR(data_tab[[#This Row],[Revenue]]="",data_tab[[#This Row],[Cost]]=""),"Flag","Valid"))</f>
        <v>Valid</v>
      </c>
      <c r="L374" t="str">
        <f>IF((COUNTIFS(data_tab[Revenue],data_tab[[#This Row],[Revenue]],data_tab[Cost],data_tab[[#This Row],[Cost]]))&gt;1,"Duplicate","Unique")</f>
        <v>Unique</v>
      </c>
      <c r="M374">
        <f>data_tab[[#This Row],[Revenue]]-data_tab[[#This Row],[Cost]]</f>
        <v>49469.637451298011</v>
      </c>
      <c r="N374" t="str">
        <f>IF(data_tab[[#This Row],[Revenue]]&lt;0,"Return","Sale")</f>
        <v>Sale</v>
      </c>
    </row>
    <row r="375" spans="1:14" hidden="1">
      <c r="A375" s="1">
        <v>46176</v>
      </c>
      <c r="B375">
        <f>MONTH(data_tab[[#This Row],[Order Date]])</f>
        <v>6</v>
      </c>
      <c r="C375">
        <f>YEAR(data_tab[[#This Row],[Order Date]])</f>
        <v>2026</v>
      </c>
      <c r="D375" t="s">
        <v>31</v>
      </c>
      <c r="E375" t="s">
        <v>32</v>
      </c>
      <c r="F375" t="s">
        <v>24</v>
      </c>
      <c r="G375" t="s">
        <v>26</v>
      </c>
      <c r="H375">
        <v>8</v>
      </c>
      <c r="I375">
        <v>353992</v>
      </c>
      <c r="J375">
        <v>254826.749803819</v>
      </c>
      <c r="K375" t="str">
        <f>IF(AND(data_tab[[#This Row],[Revenue]]="",data_tab[[#This Row],[Cost]]=""),"Remove",IF(OR(data_tab[[#This Row],[Revenue]]="",data_tab[[#This Row],[Cost]]=""),"Flag","Valid"))</f>
        <v>Valid</v>
      </c>
      <c r="L375" t="str">
        <f>IF((COUNTIFS(data_tab[Revenue],data_tab[[#This Row],[Revenue]],data_tab[Cost],data_tab[[#This Row],[Cost]]))&gt;1,"Duplicate","Unique")</f>
        <v>Unique</v>
      </c>
      <c r="M375">
        <f>data_tab[[#This Row],[Revenue]]-data_tab[[#This Row],[Cost]]</f>
        <v>99165.250196181005</v>
      </c>
      <c r="N375" t="str">
        <f>IF(data_tab[[#This Row],[Revenue]]&lt;0,"Return","Sale")</f>
        <v>Sale</v>
      </c>
    </row>
    <row r="376" spans="1:14">
      <c r="A376" s="1">
        <v>46171</v>
      </c>
      <c r="B376">
        <f>MONTH(data_tab[[#This Row],[Order Date]])</f>
        <v>5</v>
      </c>
      <c r="C376">
        <f>YEAR(data_tab[[#This Row],[Order Date]])</f>
        <v>2026</v>
      </c>
      <c r="D376" t="s">
        <v>31</v>
      </c>
      <c r="E376" t="s">
        <v>32</v>
      </c>
      <c r="F376" t="s">
        <v>21</v>
      </c>
      <c r="G376" t="s">
        <v>39</v>
      </c>
      <c r="H376">
        <v>5</v>
      </c>
      <c r="I376">
        <v>213000</v>
      </c>
      <c r="J376">
        <v>112447.716977373</v>
      </c>
      <c r="K376" t="str">
        <f>IF(AND(data_tab[[#This Row],[Revenue]]="",data_tab[[#This Row],[Cost]]=""),"Remove",IF(OR(data_tab[[#This Row],[Revenue]]="",data_tab[[#This Row],[Cost]]=""),"Flag","Valid"))</f>
        <v>Valid</v>
      </c>
      <c r="L376" t="str">
        <f>IF((COUNTIFS(data_tab[Revenue],data_tab[[#This Row],[Revenue]],data_tab[Cost],data_tab[[#This Row],[Cost]]))&gt;1,"Duplicate","Unique")</f>
        <v>Unique</v>
      </c>
      <c r="M376">
        <f>data_tab[[#This Row],[Revenue]]-data_tab[[#This Row],[Cost]]</f>
        <v>100552.283022627</v>
      </c>
      <c r="N376" t="str">
        <f>IF(data_tab[[#This Row],[Revenue]]&lt;0,"Return","Sale")</f>
        <v>Sale</v>
      </c>
    </row>
    <row r="377" spans="1:14" hidden="1">
      <c r="A377" s="1">
        <v>46191</v>
      </c>
      <c r="B377">
        <f>MONTH(data_tab[[#This Row],[Order Date]])</f>
        <v>6</v>
      </c>
      <c r="C377">
        <f>YEAR(data_tab[[#This Row],[Order Date]])</f>
        <v>2026</v>
      </c>
      <c r="D377" t="s">
        <v>40</v>
      </c>
      <c r="E377" t="s">
        <v>15</v>
      </c>
      <c r="F377" t="s">
        <v>16</v>
      </c>
      <c r="G377" t="s">
        <v>37</v>
      </c>
      <c r="H377">
        <v>7</v>
      </c>
      <c r="I377">
        <v>91357</v>
      </c>
      <c r="J377">
        <v>45855.070521838497</v>
      </c>
      <c r="K377" t="str">
        <f>IF(AND(data_tab[[#This Row],[Revenue]]="",data_tab[[#This Row],[Cost]]=""),"Remove",IF(OR(data_tab[[#This Row],[Revenue]]="",data_tab[[#This Row],[Cost]]=""),"Flag","Valid"))</f>
        <v>Valid</v>
      </c>
      <c r="L377" t="str">
        <f>IF((COUNTIFS(data_tab[Revenue],data_tab[[#This Row],[Revenue]],data_tab[Cost],data_tab[[#This Row],[Cost]]))&gt;1,"Duplicate","Unique")</f>
        <v>Unique</v>
      </c>
      <c r="M377">
        <f>data_tab[[#This Row],[Revenue]]-data_tab[[#This Row],[Cost]]</f>
        <v>45501.929478161503</v>
      </c>
      <c r="N377" t="str">
        <f>IF(data_tab[[#This Row],[Revenue]]&lt;0,"Return","Sale")</f>
        <v>Sale</v>
      </c>
    </row>
    <row r="378" spans="1:14" hidden="1">
      <c r="A378" s="1">
        <v>46134</v>
      </c>
      <c r="B378">
        <f>MONTH(data_tab[[#This Row],[Order Date]])</f>
        <v>4</v>
      </c>
      <c r="C378">
        <f>YEAR(data_tab[[#This Row],[Order Date]])</f>
        <v>2026</v>
      </c>
      <c r="D378" t="s">
        <v>14</v>
      </c>
      <c r="E378" t="s">
        <v>15</v>
      </c>
      <c r="F378" t="s">
        <v>16</v>
      </c>
      <c r="G378" t="s">
        <v>33</v>
      </c>
      <c r="H378">
        <v>8</v>
      </c>
      <c r="I378">
        <v>249488</v>
      </c>
      <c r="J378">
        <v>160544.68993124599</v>
      </c>
      <c r="K378" t="str">
        <f>IF(AND(data_tab[[#This Row],[Revenue]]="",data_tab[[#This Row],[Cost]]=""),"Remove",IF(OR(data_tab[[#This Row],[Revenue]]="",data_tab[[#This Row],[Cost]]=""),"Flag","Valid"))</f>
        <v>Valid</v>
      </c>
      <c r="L378" t="str">
        <f>IF((COUNTIFS(data_tab[Revenue],data_tab[[#This Row],[Revenue]],data_tab[Cost],data_tab[[#This Row],[Cost]]))&gt;1,"Duplicate","Unique")</f>
        <v>Unique</v>
      </c>
      <c r="M378">
        <f>data_tab[[#This Row],[Revenue]]-data_tab[[#This Row],[Cost]]</f>
        <v>88943.310068754014</v>
      </c>
      <c r="N378" t="str">
        <f>IF(data_tab[[#This Row],[Revenue]]&lt;0,"Return","Sale")</f>
        <v>Sale</v>
      </c>
    </row>
    <row r="379" spans="1:14">
      <c r="A379" s="1">
        <v>46148</v>
      </c>
      <c r="B379">
        <f>MONTH(data_tab[[#This Row],[Order Date]])</f>
        <v>5</v>
      </c>
      <c r="C379">
        <f>YEAR(data_tab[[#This Row],[Order Date]])</f>
        <v>2026</v>
      </c>
      <c r="D379" t="s">
        <v>35</v>
      </c>
      <c r="E379" t="s">
        <v>32</v>
      </c>
      <c r="F379" t="s">
        <v>21</v>
      </c>
      <c r="G379" t="s">
        <v>26</v>
      </c>
      <c r="H379">
        <v>4</v>
      </c>
      <c r="I379">
        <v>77004</v>
      </c>
      <c r="J379">
        <v>61096.347876356202</v>
      </c>
      <c r="K379" t="str">
        <f>IF(AND(data_tab[[#This Row],[Revenue]]="",data_tab[[#This Row],[Cost]]=""),"Remove",IF(OR(data_tab[[#This Row],[Revenue]]="",data_tab[[#This Row],[Cost]]=""),"Flag","Valid"))</f>
        <v>Valid</v>
      </c>
      <c r="L379" t="str">
        <f>IF((COUNTIFS(data_tab[Revenue],data_tab[[#This Row],[Revenue]],data_tab[Cost],data_tab[[#This Row],[Cost]]))&gt;1,"Duplicate","Unique")</f>
        <v>Unique</v>
      </c>
      <c r="M379">
        <f>data_tab[[#This Row],[Revenue]]-data_tab[[#This Row],[Cost]]</f>
        <v>15907.652123643798</v>
      </c>
      <c r="N379" t="str">
        <f>IF(data_tab[[#This Row],[Revenue]]&lt;0,"Return","Sale")</f>
        <v>Sale</v>
      </c>
    </row>
    <row r="380" spans="1:14">
      <c r="A380" s="1">
        <v>46152</v>
      </c>
      <c r="B380">
        <f>MONTH(data_tab[[#This Row],[Order Date]])</f>
        <v>5</v>
      </c>
      <c r="C380">
        <f>YEAR(data_tab[[#This Row],[Order Date]])</f>
        <v>2026</v>
      </c>
      <c r="D380" t="s">
        <v>40</v>
      </c>
      <c r="E380" t="s">
        <v>15</v>
      </c>
      <c r="F380" t="s">
        <v>36</v>
      </c>
      <c r="G380" t="s">
        <v>26</v>
      </c>
      <c r="H380">
        <v>4</v>
      </c>
      <c r="I380">
        <v>17608</v>
      </c>
      <c r="J380">
        <v>12688.9868504194</v>
      </c>
      <c r="K380" t="str">
        <f>IF(AND(data_tab[[#This Row],[Revenue]]="",data_tab[[#This Row],[Cost]]=""),"Remove",IF(OR(data_tab[[#This Row],[Revenue]]="",data_tab[[#This Row],[Cost]]=""),"Flag","Valid"))</f>
        <v>Valid</v>
      </c>
      <c r="L380" t="str">
        <f>IF((COUNTIFS(data_tab[Revenue],data_tab[[#This Row],[Revenue]],data_tab[Cost],data_tab[[#This Row],[Cost]]))&gt;1,"Duplicate","Unique")</f>
        <v>Unique</v>
      </c>
      <c r="M380">
        <f>data_tab[[#This Row],[Revenue]]-data_tab[[#This Row],[Cost]]</f>
        <v>4919.0131495805999</v>
      </c>
      <c r="N380" t="str">
        <f>IF(data_tab[[#This Row],[Revenue]]&lt;0,"Return","Sale")</f>
        <v>Sale</v>
      </c>
    </row>
    <row r="381" spans="1:14" hidden="1">
      <c r="A381" s="1">
        <v>46061</v>
      </c>
      <c r="B381">
        <f>MONTH(data_tab[[#This Row],[Order Date]])</f>
        <v>2</v>
      </c>
      <c r="C381">
        <f>YEAR(data_tab[[#This Row],[Order Date]])</f>
        <v>2026</v>
      </c>
      <c r="D381" t="s">
        <v>23</v>
      </c>
      <c r="E381" t="s">
        <v>15</v>
      </c>
      <c r="F381" t="s">
        <v>16</v>
      </c>
      <c r="G381" t="s">
        <v>17</v>
      </c>
      <c r="H381">
        <v>8</v>
      </c>
      <c r="I381">
        <v>278728</v>
      </c>
      <c r="J381">
        <v>196270.44563229001</v>
      </c>
      <c r="K381" t="str">
        <f>IF(AND(data_tab[[#This Row],[Revenue]]="",data_tab[[#This Row],[Cost]]=""),"Remove",IF(OR(data_tab[[#This Row],[Revenue]]="",data_tab[[#This Row],[Cost]]=""),"Flag","Valid"))</f>
        <v>Valid</v>
      </c>
      <c r="L381" t="str">
        <f>IF((COUNTIFS(data_tab[Revenue],data_tab[[#This Row],[Revenue]],data_tab[Cost],data_tab[[#This Row],[Cost]]))&gt;1,"Duplicate","Unique")</f>
        <v>Unique</v>
      </c>
      <c r="M381">
        <f>data_tab[[#This Row],[Revenue]]-data_tab[[#This Row],[Cost]]</f>
        <v>82457.554367709992</v>
      </c>
      <c r="N381" t="str">
        <f>IF(data_tab[[#This Row],[Revenue]]&lt;0,"Return","Sale")</f>
        <v>Sale</v>
      </c>
    </row>
    <row r="382" spans="1:14" hidden="1">
      <c r="A382" s="1">
        <v>46180</v>
      </c>
      <c r="B382">
        <f>MONTH(data_tab[[#This Row],[Order Date]])</f>
        <v>6</v>
      </c>
      <c r="C382">
        <f>YEAR(data_tab[[#This Row],[Order Date]])</f>
        <v>2026</v>
      </c>
      <c r="D382" t="s">
        <v>31</v>
      </c>
      <c r="E382" t="s">
        <v>32</v>
      </c>
      <c r="F382" t="s">
        <v>36</v>
      </c>
      <c r="G382" t="s">
        <v>17</v>
      </c>
      <c r="H382">
        <v>3</v>
      </c>
      <c r="I382">
        <v>117348</v>
      </c>
      <c r="J382">
        <v>103205.774406447</v>
      </c>
      <c r="K382" t="str">
        <f>IF(AND(data_tab[[#This Row],[Revenue]]="",data_tab[[#This Row],[Cost]]=""),"Remove",IF(OR(data_tab[[#This Row],[Revenue]]="",data_tab[[#This Row],[Cost]]=""),"Flag","Valid"))</f>
        <v>Valid</v>
      </c>
      <c r="L382" t="str">
        <f>IF((COUNTIFS(data_tab[Revenue],data_tab[[#This Row],[Revenue]],data_tab[Cost],data_tab[[#This Row],[Cost]]))&gt;1,"Duplicate","Unique")</f>
        <v>Unique</v>
      </c>
      <c r="M382">
        <f>data_tab[[#This Row],[Revenue]]-data_tab[[#This Row],[Cost]]</f>
        <v>14142.225593552997</v>
      </c>
      <c r="N382" t="str">
        <f>IF(data_tab[[#This Row],[Revenue]]&lt;0,"Return","Sale")</f>
        <v>Sale</v>
      </c>
    </row>
    <row r="383" spans="1:14">
      <c r="A383" s="1">
        <v>46146</v>
      </c>
      <c r="B383">
        <f>MONTH(data_tab[[#This Row],[Order Date]])</f>
        <v>5</v>
      </c>
      <c r="C383">
        <f>YEAR(data_tab[[#This Row],[Order Date]])</f>
        <v>2026</v>
      </c>
      <c r="D383" t="s">
        <v>23</v>
      </c>
      <c r="E383" t="s">
        <v>15</v>
      </c>
      <c r="F383" t="s">
        <v>36</v>
      </c>
      <c r="G383" t="s">
        <v>17</v>
      </c>
      <c r="H383">
        <v>2</v>
      </c>
      <c r="J383">
        <v>25035.172418869501</v>
      </c>
      <c r="K383" t="str">
        <f>IF(AND(data_tab[[#This Row],[Revenue]]="",data_tab[[#This Row],[Cost]]=""),"Remove",IF(OR(data_tab[[#This Row],[Revenue]]="",data_tab[[#This Row],[Cost]]=""),"Flag","Valid"))</f>
        <v>Flag</v>
      </c>
      <c r="L383" t="str">
        <f>IF((COUNTIFS(data_tab[Revenue],data_tab[[#This Row],[Revenue]],data_tab[Cost],data_tab[[#This Row],[Cost]]))&gt;1,"Duplicate","Unique")</f>
        <v>Unique</v>
      </c>
      <c r="M383">
        <f>data_tab[[#This Row],[Revenue]]-data_tab[[#This Row],[Cost]]</f>
        <v>-25035.172418869501</v>
      </c>
      <c r="N383" t="str">
        <f>IF(data_tab[[#This Row],[Revenue]]&lt;0,"Return","Sale")</f>
        <v>Sale</v>
      </c>
    </row>
    <row r="384" spans="1:14" hidden="1">
      <c r="A384" s="1">
        <v>46115</v>
      </c>
      <c r="B384">
        <f>MONTH(data_tab[[#This Row],[Order Date]])</f>
        <v>4</v>
      </c>
      <c r="C384">
        <f>YEAR(data_tab[[#This Row],[Order Date]])</f>
        <v>2026</v>
      </c>
      <c r="D384" t="s">
        <v>20</v>
      </c>
      <c r="E384" t="s">
        <v>15</v>
      </c>
      <c r="F384" t="s">
        <v>24</v>
      </c>
      <c r="G384" t="s">
        <v>41</v>
      </c>
      <c r="H384">
        <v>6</v>
      </c>
      <c r="I384">
        <v>52584</v>
      </c>
      <c r="J384">
        <v>41094.106847895702</v>
      </c>
      <c r="K384" t="str">
        <f>IF(AND(data_tab[[#This Row],[Revenue]]="",data_tab[[#This Row],[Cost]]=""),"Remove",IF(OR(data_tab[[#This Row],[Revenue]]="",data_tab[[#This Row],[Cost]]=""),"Flag","Valid"))</f>
        <v>Valid</v>
      </c>
      <c r="L384" t="str">
        <f>IF((COUNTIFS(data_tab[Revenue],data_tab[[#This Row],[Revenue]],data_tab[Cost],data_tab[[#This Row],[Cost]]))&gt;1,"Duplicate","Unique")</f>
        <v>Unique</v>
      </c>
      <c r="M384">
        <f>data_tab[[#This Row],[Revenue]]-data_tab[[#This Row],[Cost]]</f>
        <v>11489.893152104298</v>
      </c>
      <c r="N384" t="str">
        <f>IF(data_tab[[#This Row],[Revenue]]&lt;0,"Return","Sale")</f>
        <v>Sale</v>
      </c>
    </row>
    <row r="385" spans="1:14" hidden="1">
      <c r="A385" s="1">
        <v>46090</v>
      </c>
      <c r="B385">
        <f>MONTH(data_tab[[#This Row],[Order Date]])</f>
        <v>3</v>
      </c>
      <c r="C385">
        <f>YEAR(data_tab[[#This Row],[Order Date]])</f>
        <v>2026</v>
      </c>
      <c r="D385" t="s">
        <v>29</v>
      </c>
      <c r="E385" t="s">
        <v>15</v>
      </c>
      <c r="F385" t="s">
        <v>36</v>
      </c>
      <c r="G385" t="s">
        <v>37</v>
      </c>
      <c r="H385">
        <v>10</v>
      </c>
      <c r="I385">
        <v>448170</v>
      </c>
      <c r="J385">
        <v>385108.28927332797</v>
      </c>
      <c r="K385" t="str">
        <f>IF(AND(data_tab[[#This Row],[Revenue]]="",data_tab[[#This Row],[Cost]]=""),"Remove",IF(OR(data_tab[[#This Row],[Revenue]]="",data_tab[[#This Row],[Cost]]=""),"Flag","Valid"))</f>
        <v>Valid</v>
      </c>
      <c r="L385" t="str">
        <f>IF((COUNTIFS(data_tab[Revenue],data_tab[[#This Row],[Revenue]],data_tab[Cost],data_tab[[#This Row],[Cost]]))&gt;1,"Duplicate","Unique")</f>
        <v>Unique</v>
      </c>
      <c r="M385">
        <f>data_tab[[#This Row],[Revenue]]-data_tab[[#This Row],[Cost]]</f>
        <v>63061.710726672027</v>
      </c>
      <c r="N385" t="str">
        <f>IF(data_tab[[#This Row],[Revenue]]&lt;0,"Return","Sale")</f>
        <v>Sale</v>
      </c>
    </row>
    <row r="386" spans="1:14" hidden="1">
      <c r="A386" s="1">
        <v>46080</v>
      </c>
      <c r="B386">
        <f>MONTH(data_tab[[#This Row],[Order Date]])</f>
        <v>2</v>
      </c>
      <c r="C386">
        <f>YEAR(data_tab[[#This Row],[Order Date]])</f>
        <v>2026</v>
      </c>
      <c r="D386" t="s">
        <v>23</v>
      </c>
      <c r="E386" t="s">
        <v>15</v>
      </c>
      <c r="F386" t="s">
        <v>16</v>
      </c>
      <c r="G386" t="s">
        <v>33</v>
      </c>
      <c r="H386">
        <v>8</v>
      </c>
      <c r="I386">
        <v>332776</v>
      </c>
      <c r="J386">
        <v>167266.22069875899</v>
      </c>
      <c r="K386" t="str">
        <f>IF(AND(data_tab[[#This Row],[Revenue]]="",data_tab[[#This Row],[Cost]]=""),"Remove",IF(OR(data_tab[[#This Row],[Revenue]]="",data_tab[[#This Row],[Cost]]=""),"Flag","Valid"))</f>
        <v>Valid</v>
      </c>
      <c r="L386" t="str">
        <f>IF((COUNTIFS(data_tab[Revenue],data_tab[[#This Row],[Revenue]],data_tab[Cost],data_tab[[#This Row],[Cost]]))&gt;1,"Duplicate","Unique")</f>
        <v>Unique</v>
      </c>
      <c r="M386">
        <f>data_tab[[#This Row],[Revenue]]-data_tab[[#This Row],[Cost]]</f>
        <v>165509.77930124101</v>
      </c>
      <c r="N386" t="str">
        <f>IF(data_tab[[#This Row],[Revenue]]&lt;0,"Return","Sale")</f>
        <v>Sale</v>
      </c>
    </row>
    <row r="387" spans="1:14">
      <c r="A387" s="1">
        <v>46154</v>
      </c>
      <c r="B387">
        <f>MONTH(data_tab[[#This Row],[Order Date]])</f>
        <v>5</v>
      </c>
      <c r="C387">
        <f>YEAR(data_tab[[#This Row],[Order Date]])</f>
        <v>2026</v>
      </c>
      <c r="D387" t="s">
        <v>31</v>
      </c>
      <c r="E387" t="s">
        <v>32</v>
      </c>
      <c r="F387" t="s">
        <v>21</v>
      </c>
      <c r="G387" t="s">
        <v>37</v>
      </c>
      <c r="H387">
        <v>10</v>
      </c>
      <c r="I387">
        <v>490090</v>
      </c>
      <c r="J387">
        <v>405197.60519043298</v>
      </c>
      <c r="K387" t="str">
        <f>IF(AND(data_tab[[#This Row],[Revenue]]="",data_tab[[#This Row],[Cost]]=""),"Remove",IF(OR(data_tab[[#This Row],[Revenue]]="",data_tab[[#This Row],[Cost]]=""),"Flag","Valid"))</f>
        <v>Valid</v>
      </c>
      <c r="L387" t="str">
        <f>IF((COUNTIFS(data_tab[Revenue],data_tab[[#This Row],[Revenue]],data_tab[Cost],data_tab[[#This Row],[Cost]]))&gt;1,"Duplicate","Unique")</f>
        <v>Unique</v>
      </c>
      <c r="M387">
        <f>data_tab[[#This Row],[Revenue]]-data_tab[[#This Row],[Cost]]</f>
        <v>84892.39480956702</v>
      </c>
      <c r="N387" t="str">
        <f>IF(data_tab[[#This Row],[Revenue]]&lt;0,"Return","Sale")</f>
        <v>Sale</v>
      </c>
    </row>
    <row r="388" spans="1:14" hidden="1">
      <c r="A388" s="1">
        <v>46052</v>
      </c>
      <c r="B388">
        <f>MONTH(data_tab[[#This Row],[Order Date]])</f>
        <v>1</v>
      </c>
      <c r="C388">
        <f>YEAR(data_tab[[#This Row],[Order Date]])</f>
        <v>2026</v>
      </c>
      <c r="D388" t="s">
        <v>31</v>
      </c>
      <c r="E388" t="s">
        <v>32</v>
      </c>
      <c r="F388" t="s">
        <v>21</v>
      </c>
      <c r="G388" t="s">
        <v>41</v>
      </c>
      <c r="H388">
        <v>7</v>
      </c>
      <c r="I388">
        <v>24297</v>
      </c>
      <c r="J388">
        <v>14516.682983765801</v>
      </c>
      <c r="K388" t="str">
        <f>IF(AND(data_tab[[#This Row],[Revenue]]="",data_tab[[#This Row],[Cost]]=""),"Remove",IF(OR(data_tab[[#This Row],[Revenue]]="",data_tab[[#This Row],[Cost]]=""),"Flag","Valid"))</f>
        <v>Valid</v>
      </c>
      <c r="L388" t="str">
        <f>IF((COUNTIFS(data_tab[Revenue],data_tab[[#This Row],[Revenue]],data_tab[Cost],data_tab[[#This Row],[Cost]]))&gt;1,"Duplicate","Unique")</f>
        <v>Unique</v>
      </c>
      <c r="M388">
        <f>data_tab[[#This Row],[Revenue]]-data_tab[[#This Row],[Cost]]</f>
        <v>9780.3170162341994</v>
      </c>
      <c r="N388" t="str">
        <f>IF(data_tab[[#This Row],[Revenue]]&lt;0,"Return","Sale")</f>
        <v>Sale</v>
      </c>
    </row>
    <row r="389" spans="1:14" hidden="1">
      <c r="A389" s="1">
        <v>46361</v>
      </c>
      <c r="B389">
        <f>MONTH(data_tab[[#This Row],[Order Date]])</f>
        <v>12</v>
      </c>
      <c r="C389">
        <f>YEAR(data_tab[[#This Row],[Order Date]])</f>
        <v>2026</v>
      </c>
      <c r="D389" t="s">
        <v>40</v>
      </c>
      <c r="E389" t="s">
        <v>15</v>
      </c>
      <c r="F389" t="s">
        <v>21</v>
      </c>
      <c r="G389" t="s">
        <v>39</v>
      </c>
      <c r="H389">
        <v>3</v>
      </c>
      <c r="I389">
        <v>56775</v>
      </c>
      <c r="J389">
        <v>49336.268432577301</v>
      </c>
      <c r="K389" t="str">
        <f>IF(AND(data_tab[[#This Row],[Revenue]]="",data_tab[[#This Row],[Cost]]=""),"Remove",IF(OR(data_tab[[#This Row],[Revenue]]="",data_tab[[#This Row],[Cost]]=""),"Flag","Valid"))</f>
        <v>Valid</v>
      </c>
      <c r="L389" t="str">
        <f>IF((COUNTIFS(data_tab[Revenue],data_tab[[#This Row],[Revenue]],data_tab[Cost],data_tab[[#This Row],[Cost]]))&gt;1,"Duplicate","Unique")</f>
        <v>Unique</v>
      </c>
      <c r="M389">
        <f>data_tab[[#This Row],[Revenue]]-data_tab[[#This Row],[Cost]]</f>
        <v>7438.7315674226993</v>
      </c>
      <c r="N389" t="str">
        <f>IF(data_tab[[#This Row],[Revenue]]&lt;0,"Return","Sale")</f>
        <v>Sale</v>
      </c>
    </row>
    <row r="390" spans="1:14" hidden="1">
      <c r="A390" s="1">
        <v>46186</v>
      </c>
      <c r="B390">
        <f>MONTH(data_tab[[#This Row],[Order Date]])</f>
        <v>6</v>
      </c>
      <c r="C390">
        <f>YEAR(data_tab[[#This Row],[Order Date]])</f>
        <v>2026</v>
      </c>
      <c r="D390" t="s">
        <v>14</v>
      </c>
      <c r="E390" t="s">
        <v>15</v>
      </c>
      <c r="F390" t="s">
        <v>16</v>
      </c>
      <c r="G390" t="s">
        <v>39</v>
      </c>
      <c r="H390">
        <v>4</v>
      </c>
      <c r="I390">
        <v>125752</v>
      </c>
      <c r="J390">
        <v>93384.737886391697</v>
      </c>
      <c r="K390" t="str">
        <f>IF(AND(data_tab[[#This Row],[Revenue]]="",data_tab[[#This Row],[Cost]]=""),"Remove",IF(OR(data_tab[[#This Row],[Revenue]]="",data_tab[[#This Row],[Cost]]=""),"Flag","Valid"))</f>
        <v>Valid</v>
      </c>
      <c r="L390" t="str">
        <f>IF((COUNTIFS(data_tab[Revenue],data_tab[[#This Row],[Revenue]],data_tab[Cost],data_tab[[#This Row],[Cost]]))&gt;1,"Duplicate","Unique")</f>
        <v>Unique</v>
      </c>
      <c r="M390">
        <f>data_tab[[#This Row],[Revenue]]-data_tab[[#This Row],[Cost]]</f>
        <v>32367.262113608303</v>
      </c>
      <c r="N390" t="str">
        <f>IF(data_tab[[#This Row],[Revenue]]&lt;0,"Return","Sale")</f>
        <v>Sale</v>
      </c>
    </row>
    <row r="391" spans="1:14" hidden="1">
      <c r="A391" s="1">
        <v>46128</v>
      </c>
      <c r="B391">
        <f>MONTH(data_tab[[#This Row],[Order Date]])</f>
        <v>4</v>
      </c>
      <c r="C391">
        <f>YEAR(data_tab[[#This Row],[Order Date]])</f>
        <v>2026</v>
      </c>
      <c r="D391" t="s">
        <v>23</v>
      </c>
      <c r="E391" t="s">
        <v>15</v>
      </c>
      <c r="F391" t="s">
        <v>21</v>
      </c>
      <c r="G391" t="s">
        <v>26</v>
      </c>
      <c r="H391">
        <v>9</v>
      </c>
      <c r="I391">
        <v>174015</v>
      </c>
      <c r="J391">
        <v>98681.936761124001</v>
      </c>
      <c r="K391" t="str">
        <f>IF(AND(data_tab[[#This Row],[Revenue]]="",data_tab[[#This Row],[Cost]]=""),"Remove",IF(OR(data_tab[[#This Row],[Revenue]]="",data_tab[[#This Row],[Cost]]=""),"Flag","Valid"))</f>
        <v>Valid</v>
      </c>
      <c r="L391" t="str">
        <f>IF((COUNTIFS(data_tab[Revenue],data_tab[[#This Row],[Revenue]],data_tab[Cost],data_tab[[#This Row],[Cost]]))&gt;1,"Duplicate","Unique")</f>
        <v>Unique</v>
      </c>
      <c r="M391">
        <f>data_tab[[#This Row],[Revenue]]-data_tab[[#This Row],[Cost]]</f>
        <v>75333.063238875999</v>
      </c>
      <c r="N391" t="str">
        <f>IF(data_tab[[#This Row],[Revenue]]&lt;0,"Return","Sale")</f>
        <v>Sale</v>
      </c>
    </row>
    <row r="392" spans="1:14" hidden="1">
      <c r="A392" s="1">
        <v>46040</v>
      </c>
      <c r="B392">
        <f>MONTH(data_tab[[#This Row],[Order Date]])</f>
        <v>1</v>
      </c>
      <c r="C392">
        <f>YEAR(data_tab[[#This Row],[Order Date]])</f>
        <v>2026</v>
      </c>
      <c r="D392" t="s">
        <v>20</v>
      </c>
      <c r="E392" t="s">
        <v>15</v>
      </c>
      <c r="F392" t="s">
        <v>24</v>
      </c>
      <c r="G392" t="s">
        <v>17</v>
      </c>
      <c r="H392">
        <v>9</v>
      </c>
      <c r="I392">
        <v>315477</v>
      </c>
      <c r="J392">
        <v>244099.42411324501</v>
      </c>
      <c r="K392" t="str">
        <f>IF(AND(data_tab[[#This Row],[Revenue]]="",data_tab[[#This Row],[Cost]]=""),"Remove",IF(OR(data_tab[[#This Row],[Revenue]]="",data_tab[[#This Row],[Cost]]=""),"Flag","Valid"))</f>
        <v>Valid</v>
      </c>
      <c r="L392" t="str">
        <f>IF((COUNTIFS(data_tab[Revenue],data_tab[[#This Row],[Revenue]],data_tab[Cost],data_tab[[#This Row],[Cost]]))&gt;1,"Duplicate","Unique")</f>
        <v>Unique</v>
      </c>
      <c r="M392">
        <f>data_tab[[#This Row],[Revenue]]-data_tab[[#This Row],[Cost]]</f>
        <v>71377.575886754988</v>
      </c>
      <c r="N392" t="str">
        <f>IF(data_tab[[#This Row],[Revenue]]&lt;0,"Return","Sale")</f>
        <v>Sale</v>
      </c>
    </row>
    <row r="393" spans="1:14" hidden="1">
      <c r="A393" s="1">
        <v>46180</v>
      </c>
      <c r="B393">
        <f>MONTH(data_tab[[#This Row],[Order Date]])</f>
        <v>6</v>
      </c>
      <c r="C393">
        <f>YEAR(data_tab[[#This Row],[Order Date]])</f>
        <v>2026</v>
      </c>
      <c r="D393" t="s">
        <v>40</v>
      </c>
      <c r="E393" t="s">
        <v>15</v>
      </c>
      <c r="F393" t="s">
        <v>24</v>
      </c>
      <c r="G393" t="s">
        <v>39</v>
      </c>
      <c r="H393">
        <v>8</v>
      </c>
      <c r="I393">
        <v>361704</v>
      </c>
      <c r="J393">
        <v>199708.18520978501</v>
      </c>
      <c r="K393" t="str">
        <f>IF(AND(data_tab[[#This Row],[Revenue]]="",data_tab[[#This Row],[Cost]]=""),"Remove",IF(OR(data_tab[[#This Row],[Revenue]]="",data_tab[[#This Row],[Cost]]=""),"Flag","Valid"))</f>
        <v>Valid</v>
      </c>
      <c r="L393" t="str">
        <f>IF((COUNTIFS(data_tab[Revenue],data_tab[[#This Row],[Revenue]],data_tab[Cost],data_tab[[#This Row],[Cost]]))&gt;1,"Duplicate","Unique")</f>
        <v>Unique</v>
      </c>
      <c r="M393">
        <f>data_tab[[#This Row],[Revenue]]-data_tab[[#This Row],[Cost]]</f>
        <v>161995.81479021499</v>
      </c>
      <c r="N393" t="str">
        <f>IF(data_tab[[#This Row],[Revenue]]&lt;0,"Return","Sale")</f>
        <v>Sale</v>
      </c>
    </row>
    <row r="394" spans="1:14" hidden="1">
      <c r="A394" s="1">
        <v>46196</v>
      </c>
      <c r="B394">
        <f>MONTH(data_tab[[#This Row],[Order Date]])</f>
        <v>6</v>
      </c>
      <c r="C394">
        <f>YEAR(data_tab[[#This Row],[Order Date]])</f>
        <v>2026</v>
      </c>
      <c r="D394" t="s">
        <v>35</v>
      </c>
      <c r="E394" t="s">
        <v>32</v>
      </c>
      <c r="F394" t="s">
        <v>24</v>
      </c>
      <c r="G394" t="s">
        <v>41</v>
      </c>
      <c r="H394">
        <v>9</v>
      </c>
      <c r="I394">
        <v>271008</v>
      </c>
      <c r="J394">
        <v>160381.04454750899</v>
      </c>
      <c r="K394" t="str">
        <f>IF(AND(data_tab[[#This Row],[Revenue]]="",data_tab[[#This Row],[Cost]]=""),"Remove",IF(OR(data_tab[[#This Row],[Revenue]]="",data_tab[[#This Row],[Cost]]=""),"Flag","Valid"))</f>
        <v>Valid</v>
      </c>
      <c r="L394" t="str">
        <f>IF((COUNTIFS(data_tab[Revenue],data_tab[[#This Row],[Revenue]],data_tab[Cost],data_tab[[#This Row],[Cost]]))&gt;1,"Duplicate","Unique")</f>
        <v>Unique</v>
      </c>
      <c r="M394">
        <f>data_tab[[#This Row],[Revenue]]-data_tab[[#This Row],[Cost]]</f>
        <v>110626.95545249101</v>
      </c>
      <c r="N394" t="str">
        <f>IF(data_tab[[#This Row],[Revenue]]&lt;0,"Return","Sale")</f>
        <v>Sale</v>
      </c>
    </row>
    <row r="395" spans="1:14">
      <c r="A395" s="1">
        <v>46173</v>
      </c>
      <c r="B395">
        <f>MONTH(data_tab[[#This Row],[Order Date]])</f>
        <v>5</v>
      </c>
      <c r="C395">
        <f>YEAR(data_tab[[#This Row],[Order Date]])</f>
        <v>2026</v>
      </c>
      <c r="D395" t="s">
        <v>23</v>
      </c>
      <c r="E395" t="s">
        <v>15</v>
      </c>
      <c r="F395" t="s">
        <v>24</v>
      </c>
      <c r="G395" t="s">
        <v>33</v>
      </c>
      <c r="H395">
        <v>3</v>
      </c>
      <c r="I395">
        <v>56040</v>
      </c>
      <c r="J395">
        <v>38715.597968693699</v>
      </c>
      <c r="K395" t="str">
        <f>IF(AND(data_tab[[#This Row],[Revenue]]="",data_tab[[#This Row],[Cost]]=""),"Remove",IF(OR(data_tab[[#This Row],[Revenue]]="",data_tab[[#This Row],[Cost]]=""),"Flag","Valid"))</f>
        <v>Valid</v>
      </c>
      <c r="L395" t="str">
        <f>IF((COUNTIFS(data_tab[Revenue],data_tab[[#This Row],[Revenue]],data_tab[Cost],data_tab[[#This Row],[Cost]]))&gt;1,"Duplicate","Unique")</f>
        <v>Unique</v>
      </c>
      <c r="M395">
        <f>data_tab[[#This Row],[Revenue]]-data_tab[[#This Row],[Cost]]</f>
        <v>17324.402031306301</v>
      </c>
      <c r="N395" t="str">
        <f>IF(data_tab[[#This Row],[Revenue]]&lt;0,"Return","Sale")</f>
        <v>Sale</v>
      </c>
    </row>
    <row r="396" spans="1:14">
      <c r="A396" s="1">
        <v>46162</v>
      </c>
      <c r="B396">
        <f>MONTH(data_tab[[#This Row],[Order Date]])</f>
        <v>5</v>
      </c>
      <c r="C396">
        <f>YEAR(data_tab[[#This Row],[Order Date]])</f>
        <v>2026</v>
      </c>
      <c r="D396" t="s">
        <v>14</v>
      </c>
      <c r="E396" t="s">
        <v>15</v>
      </c>
      <c r="F396" t="s">
        <v>24</v>
      </c>
      <c r="G396" t="s">
        <v>26</v>
      </c>
      <c r="H396">
        <v>9</v>
      </c>
      <c r="I396">
        <v>87498</v>
      </c>
      <c r="J396">
        <v>61940.248783831099</v>
      </c>
      <c r="K396" t="str">
        <f>IF(AND(data_tab[[#This Row],[Revenue]]="",data_tab[[#This Row],[Cost]]=""),"Remove",IF(OR(data_tab[[#This Row],[Revenue]]="",data_tab[[#This Row],[Cost]]=""),"Flag","Valid"))</f>
        <v>Valid</v>
      </c>
      <c r="L396" t="str">
        <f>IF((COUNTIFS(data_tab[Revenue],data_tab[[#This Row],[Revenue]],data_tab[Cost],data_tab[[#This Row],[Cost]]))&gt;1,"Duplicate","Unique")</f>
        <v>Unique</v>
      </c>
      <c r="M396">
        <f>data_tab[[#This Row],[Revenue]]-data_tab[[#This Row],[Cost]]</f>
        <v>25557.751216168901</v>
      </c>
      <c r="N396" t="str">
        <f>IF(data_tab[[#This Row],[Revenue]]&lt;0,"Return","Sale")</f>
        <v>Sale</v>
      </c>
    </row>
    <row r="397" spans="1:14" hidden="1">
      <c r="A397" s="1">
        <v>46127</v>
      </c>
      <c r="B397">
        <f>MONTH(data_tab[[#This Row],[Order Date]])</f>
        <v>4</v>
      </c>
      <c r="C397">
        <f>YEAR(data_tab[[#This Row],[Order Date]])</f>
        <v>2026</v>
      </c>
      <c r="D397" t="s">
        <v>14</v>
      </c>
      <c r="E397" t="s">
        <v>15</v>
      </c>
      <c r="F397" t="s">
        <v>16</v>
      </c>
      <c r="G397" t="s">
        <v>37</v>
      </c>
      <c r="H397">
        <v>9</v>
      </c>
      <c r="I397">
        <v>267822</v>
      </c>
      <c r="J397">
        <v>194403.44495439299</v>
      </c>
      <c r="K397" t="str">
        <f>IF(AND(data_tab[[#This Row],[Revenue]]="",data_tab[[#This Row],[Cost]]=""),"Remove",IF(OR(data_tab[[#This Row],[Revenue]]="",data_tab[[#This Row],[Cost]]=""),"Flag","Valid"))</f>
        <v>Valid</v>
      </c>
      <c r="L397" t="str">
        <f>IF((COUNTIFS(data_tab[Revenue],data_tab[[#This Row],[Revenue]],data_tab[Cost],data_tab[[#This Row],[Cost]]))&gt;1,"Duplicate","Unique")</f>
        <v>Unique</v>
      </c>
      <c r="M397">
        <f>data_tab[[#This Row],[Revenue]]-data_tab[[#This Row],[Cost]]</f>
        <v>73418.555045607005</v>
      </c>
      <c r="N397" t="str">
        <f>IF(data_tab[[#This Row],[Revenue]]&lt;0,"Return","Sale")</f>
        <v>Sale</v>
      </c>
    </row>
    <row r="398" spans="1:14" hidden="1">
      <c r="A398" s="1">
        <v>46075</v>
      </c>
      <c r="B398">
        <f>MONTH(data_tab[[#This Row],[Order Date]])</f>
        <v>2</v>
      </c>
      <c r="C398">
        <f>YEAR(data_tab[[#This Row],[Order Date]])</f>
        <v>2026</v>
      </c>
      <c r="D398" t="s">
        <v>29</v>
      </c>
      <c r="E398" t="s">
        <v>15</v>
      </c>
      <c r="F398" t="s">
        <v>21</v>
      </c>
      <c r="G398" t="s">
        <v>37</v>
      </c>
      <c r="H398">
        <v>9</v>
      </c>
      <c r="I398">
        <v>345294</v>
      </c>
      <c r="J398">
        <v>239462.791947227</v>
      </c>
      <c r="K398" t="str">
        <f>IF(AND(data_tab[[#This Row],[Revenue]]="",data_tab[[#This Row],[Cost]]=""),"Remove",IF(OR(data_tab[[#This Row],[Revenue]]="",data_tab[[#This Row],[Cost]]=""),"Flag","Valid"))</f>
        <v>Valid</v>
      </c>
      <c r="L398" t="str">
        <f>IF((COUNTIFS(data_tab[Revenue],data_tab[[#This Row],[Revenue]],data_tab[Cost],data_tab[[#This Row],[Cost]]))&gt;1,"Duplicate","Unique")</f>
        <v>Unique</v>
      </c>
      <c r="M398">
        <f>data_tab[[#This Row],[Revenue]]-data_tab[[#This Row],[Cost]]</f>
        <v>105831.208052773</v>
      </c>
      <c r="N398" t="str">
        <f>IF(data_tab[[#This Row],[Revenue]]&lt;0,"Return","Sale")</f>
        <v>Sale</v>
      </c>
    </row>
    <row r="399" spans="1:14" hidden="1">
      <c r="A399" s="1">
        <v>46124</v>
      </c>
      <c r="B399">
        <f>MONTH(data_tab[[#This Row],[Order Date]])</f>
        <v>4</v>
      </c>
      <c r="C399">
        <f>YEAR(data_tab[[#This Row],[Order Date]])</f>
        <v>2026</v>
      </c>
      <c r="D399" t="s">
        <v>14</v>
      </c>
      <c r="E399" t="s">
        <v>15</v>
      </c>
      <c r="F399" t="s">
        <v>24</v>
      </c>
      <c r="G399" t="s">
        <v>41</v>
      </c>
      <c r="H399">
        <v>4</v>
      </c>
      <c r="I399">
        <v>125072</v>
      </c>
      <c r="J399">
        <v>101714.016563964</v>
      </c>
      <c r="K399" t="str">
        <f>IF(AND(data_tab[[#This Row],[Revenue]]="",data_tab[[#This Row],[Cost]]=""),"Remove",IF(OR(data_tab[[#This Row],[Revenue]]="",data_tab[[#This Row],[Cost]]=""),"Flag","Valid"))</f>
        <v>Valid</v>
      </c>
      <c r="L399" t="str">
        <f>IF((COUNTIFS(data_tab[Revenue],data_tab[[#This Row],[Revenue]],data_tab[Cost],data_tab[[#This Row],[Cost]]))&gt;1,"Duplicate","Unique")</f>
        <v>Unique</v>
      </c>
      <c r="M399">
        <f>data_tab[[#This Row],[Revenue]]-data_tab[[#This Row],[Cost]]</f>
        <v>23357.983436035996</v>
      </c>
      <c r="N399" t="str">
        <f>IF(data_tab[[#This Row],[Revenue]]&lt;0,"Return","Sale")</f>
        <v>Sale</v>
      </c>
    </row>
    <row r="400" spans="1:14" hidden="1">
      <c r="A400" s="1">
        <v>46109</v>
      </c>
      <c r="B400">
        <f>MONTH(data_tab[[#This Row],[Order Date]])</f>
        <v>3</v>
      </c>
      <c r="C400">
        <f>YEAR(data_tab[[#This Row],[Order Date]])</f>
        <v>2026</v>
      </c>
      <c r="D400" t="s">
        <v>14</v>
      </c>
      <c r="E400" t="s">
        <v>15</v>
      </c>
      <c r="F400" t="s">
        <v>24</v>
      </c>
      <c r="G400" t="s">
        <v>17</v>
      </c>
      <c r="H400">
        <v>7</v>
      </c>
      <c r="I400">
        <v>305704</v>
      </c>
      <c r="J400">
        <v>153498.94712603901</v>
      </c>
      <c r="K400" t="str">
        <f>IF(AND(data_tab[[#This Row],[Revenue]]="",data_tab[[#This Row],[Cost]]=""),"Remove",IF(OR(data_tab[[#This Row],[Revenue]]="",data_tab[[#This Row],[Cost]]=""),"Flag","Valid"))</f>
        <v>Valid</v>
      </c>
      <c r="L400" t="str">
        <f>IF((COUNTIFS(data_tab[Revenue],data_tab[[#This Row],[Revenue]],data_tab[Cost],data_tab[[#This Row],[Cost]]))&gt;1,"Duplicate","Unique")</f>
        <v>Unique</v>
      </c>
      <c r="M400">
        <f>data_tab[[#This Row],[Revenue]]-data_tab[[#This Row],[Cost]]</f>
        <v>152205.05287396099</v>
      </c>
      <c r="N400" t="str">
        <f>IF(data_tab[[#This Row],[Revenue]]&lt;0,"Return","Sale")</f>
        <v>Sale</v>
      </c>
    </row>
    <row r="401" spans="1:14" hidden="1">
      <c r="A401" s="1">
        <v>46134</v>
      </c>
      <c r="B401">
        <f>MONTH(data_tab[[#This Row],[Order Date]])</f>
        <v>4</v>
      </c>
      <c r="C401">
        <f>YEAR(data_tab[[#This Row],[Order Date]])</f>
        <v>2026</v>
      </c>
      <c r="D401" t="s">
        <v>35</v>
      </c>
      <c r="E401" t="s">
        <v>32</v>
      </c>
      <c r="F401" t="s">
        <v>21</v>
      </c>
      <c r="G401" t="s">
        <v>37</v>
      </c>
      <c r="H401">
        <v>2</v>
      </c>
      <c r="I401">
        <v>83826</v>
      </c>
      <c r="J401">
        <v>43178.951594833998</v>
      </c>
      <c r="K401" t="str">
        <f>IF(AND(data_tab[[#This Row],[Revenue]]="",data_tab[[#This Row],[Cost]]=""),"Remove",IF(OR(data_tab[[#This Row],[Revenue]]="",data_tab[[#This Row],[Cost]]=""),"Flag","Valid"))</f>
        <v>Valid</v>
      </c>
      <c r="L401" t="str">
        <f>IF((COUNTIFS(data_tab[Revenue],data_tab[[#This Row],[Revenue]],data_tab[Cost],data_tab[[#This Row],[Cost]]))&gt;1,"Duplicate","Unique")</f>
        <v>Unique</v>
      </c>
      <c r="M401">
        <f>data_tab[[#This Row],[Revenue]]-data_tab[[#This Row],[Cost]]</f>
        <v>40647.048405166002</v>
      </c>
      <c r="N401" t="str">
        <f>IF(data_tab[[#This Row],[Revenue]]&lt;0,"Return","Sale")</f>
        <v>Sale</v>
      </c>
    </row>
    <row r="402" spans="1:14">
      <c r="A402" s="1">
        <v>46156</v>
      </c>
      <c r="B402">
        <f>MONTH(data_tab[[#This Row],[Order Date]])</f>
        <v>5</v>
      </c>
      <c r="C402">
        <f>YEAR(data_tab[[#This Row],[Order Date]])</f>
        <v>2026</v>
      </c>
      <c r="D402" t="s">
        <v>20</v>
      </c>
      <c r="E402" t="s">
        <v>15</v>
      </c>
      <c r="F402" t="s">
        <v>21</v>
      </c>
      <c r="G402" t="s">
        <v>41</v>
      </c>
      <c r="H402">
        <v>8</v>
      </c>
      <c r="I402">
        <v>246144</v>
      </c>
      <c r="J402">
        <v>124126.520020631</v>
      </c>
      <c r="K402" t="str">
        <f>IF(AND(data_tab[[#This Row],[Revenue]]="",data_tab[[#This Row],[Cost]]=""),"Remove",IF(OR(data_tab[[#This Row],[Revenue]]="",data_tab[[#This Row],[Cost]]=""),"Flag","Valid"))</f>
        <v>Valid</v>
      </c>
      <c r="L402" t="str">
        <f>IF((COUNTIFS(data_tab[Revenue],data_tab[[#This Row],[Revenue]],data_tab[Cost],data_tab[[#This Row],[Cost]]))&gt;1,"Duplicate","Unique")</f>
        <v>Unique</v>
      </c>
      <c r="M402">
        <f>data_tab[[#This Row],[Revenue]]-data_tab[[#This Row],[Cost]]</f>
        <v>122017.479979369</v>
      </c>
      <c r="N402" t="str">
        <f>IF(data_tab[[#This Row],[Revenue]]&lt;0,"Return","Sale")</f>
        <v>Sale</v>
      </c>
    </row>
    <row r="403" spans="1:14" hidden="1">
      <c r="A403" s="1">
        <v>46072</v>
      </c>
      <c r="B403">
        <f>MONTH(data_tab[[#This Row],[Order Date]])</f>
        <v>2</v>
      </c>
      <c r="C403">
        <f>YEAR(data_tab[[#This Row],[Order Date]])</f>
        <v>2026</v>
      </c>
      <c r="D403" t="s">
        <v>40</v>
      </c>
      <c r="E403" t="s">
        <v>15</v>
      </c>
      <c r="F403" t="s">
        <v>21</v>
      </c>
      <c r="G403" t="s">
        <v>26</v>
      </c>
      <c r="H403">
        <v>3</v>
      </c>
      <c r="I403">
        <v>138516</v>
      </c>
      <c r="K403" t="str">
        <f>IF(AND(data_tab[[#This Row],[Revenue]]="",data_tab[[#This Row],[Cost]]=""),"Remove",IF(OR(data_tab[[#This Row],[Revenue]]="",data_tab[[#This Row],[Cost]]=""),"Flag","Valid"))</f>
        <v>Flag</v>
      </c>
      <c r="L403" t="str">
        <f>IF((COUNTIFS(data_tab[Revenue],data_tab[[#This Row],[Revenue]],data_tab[Cost],data_tab[[#This Row],[Cost]]))&gt;1,"Duplicate","Unique")</f>
        <v>Unique</v>
      </c>
      <c r="M403">
        <f>data_tab[[#This Row],[Revenue]]-data_tab[[#This Row],[Cost]]</f>
        <v>138516</v>
      </c>
      <c r="N403" t="str">
        <f>IF(data_tab[[#This Row],[Revenue]]&lt;0,"Return","Sale")</f>
        <v>Sale</v>
      </c>
    </row>
    <row r="404" spans="1:14" hidden="1">
      <c r="A404" s="1">
        <v>46093</v>
      </c>
      <c r="B404">
        <f>MONTH(data_tab[[#This Row],[Order Date]])</f>
        <v>3</v>
      </c>
      <c r="C404">
        <f>YEAR(data_tab[[#This Row],[Order Date]])</f>
        <v>2026</v>
      </c>
      <c r="D404" t="s">
        <v>29</v>
      </c>
      <c r="E404" t="s">
        <v>15</v>
      </c>
      <c r="F404" t="s">
        <v>36</v>
      </c>
      <c r="G404" t="s">
        <v>26</v>
      </c>
      <c r="H404">
        <v>4</v>
      </c>
      <c r="I404">
        <v>143720</v>
      </c>
      <c r="J404">
        <v>72743.390645357693</v>
      </c>
      <c r="K404" t="str">
        <f>IF(AND(data_tab[[#This Row],[Revenue]]="",data_tab[[#This Row],[Cost]]=""),"Remove",IF(OR(data_tab[[#This Row],[Revenue]]="",data_tab[[#This Row],[Cost]]=""),"Flag","Valid"))</f>
        <v>Valid</v>
      </c>
      <c r="L404" t="str">
        <f>IF((COUNTIFS(data_tab[Revenue],data_tab[[#This Row],[Revenue]],data_tab[Cost],data_tab[[#This Row],[Cost]]))&gt;1,"Duplicate","Unique")</f>
        <v>Unique</v>
      </c>
      <c r="M404">
        <f>data_tab[[#This Row],[Revenue]]-data_tab[[#This Row],[Cost]]</f>
        <v>70976.609354642307</v>
      </c>
      <c r="N404" t="str">
        <f>IF(data_tab[[#This Row],[Revenue]]&lt;0,"Return","Sale")</f>
        <v>Sale</v>
      </c>
    </row>
    <row r="405" spans="1:14">
      <c r="A405" s="1">
        <v>46166</v>
      </c>
      <c r="B405">
        <f>MONTH(data_tab[[#This Row],[Order Date]])</f>
        <v>5</v>
      </c>
      <c r="C405">
        <f>YEAR(data_tab[[#This Row],[Order Date]])</f>
        <v>2026</v>
      </c>
      <c r="D405" t="s">
        <v>23</v>
      </c>
      <c r="E405" t="s">
        <v>15</v>
      </c>
      <c r="F405" t="s">
        <v>16</v>
      </c>
      <c r="G405" t="s">
        <v>17</v>
      </c>
      <c r="H405">
        <v>10</v>
      </c>
      <c r="I405">
        <v>147480</v>
      </c>
      <c r="K405" t="str">
        <f>IF(AND(data_tab[[#This Row],[Revenue]]="",data_tab[[#This Row],[Cost]]=""),"Remove",IF(OR(data_tab[[#This Row],[Revenue]]="",data_tab[[#This Row],[Cost]]=""),"Flag","Valid"))</f>
        <v>Flag</v>
      </c>
      <c r="L405" t="str">
        <f>IF((COUNTIFS(data_tab[Revenue],data_tab[[#This Row],[Revenue]],data_tab[Cost],data_tab[[#This Row],[Cost]]))&gt;1,"Duplicate","Unique")</f>
        <v>Unique</v>
      </c>
      <c r="M405">
        <f>data_tab[[#This Row],[Revenue]]-data_tab[[#This Row],[Cost]]</f>
        <v>147480</v>
      </c>
      <c r="N405" t="str">
        <f>IF(data_tab[[#This Row],[Revenue]]&lt;0,"Return","Sale")</f>
        <v>Sale</v>
      </c>
    </row>
    <row r="406" spans="1:14" hidden="1">
      <c r="A406" s="1">
        <v>46300</v>
      </c>
      <c r="B406">
        <f>MONTH(data_tab[[#This Row],[Order Date]])</f>
        <v>10</v>
      </c>
      <c r="C406">
        <f>YEAR(data_tab[[#This Row],[Order Date]])</f>
        <v>2026</v>
      </c>
      <c r="D406" t="s">
        <v>20</v>
      </c>
      <c r="E406" t="s">
        <v>15</v>
      </c>
      <c r="F406" t="s">
        <v>16</v>
      </c>
      <c r="G406" t="s">
        <v>37</v>
      </c>
      <c r="H406">
        <v>2</v>
      </c>
      <c r="I406">
        <v>71276</v>
      </c>
      <c r="J406">
        <v>62914.166240416002</v>
      </c>
      <c r="K406" t="str">
        <f>IF(AND(data_tab[[#This Row],[Revenue]]="",data_tab[[#This Row],[Cost]]=""),"Remove",IF(OR(data_tab[[#This Row],[Revenue]]="",data_tab[[#This Row],[Cost]]=""),"Flag","Valid"))</f>
        <v>Valid</v>
      </c>
      <c r="L406" t="str">
        <f>IF((COUNTIFS(data_tab[Revenue],data_tab[[#This Row],[Revenue]],data_tab[Cost],data_tab[[#This Row],[Cost]]))&gt;1,"Duplicate","Unique")</f>
        <v>Unique</v>
      </c>
      <c r="M406">
        <f>data_tab[[#This Row],[Revenue]]-data_tab[[#This Row],[Cost]]</f>
        <v>8361.8337595839985</v>
      </c>
      <c r="N406" t="str">
        <f>IF(data_tab[[#This Row],[Revenue]]&lt;0,"Return","Sale")</f>
        <v>Sale</v>
      </c>
    </row>
    <row r="407" spans="1:14" hidden="1">
      <c r="A407" s="1">
        <v>46200</v>
      </c>
      <c r="B407">
        <f>MONTH(data_tab[[#This Row],[Order Date]])</f>
        <v>6</v>
      </c>
      <c r="C407">
        <f>YEAR(data_tab[[#This Row],[Order Date]])</f>
        <v>2026</v>
      </c>
      <c r="D407" t="s">
        <v>29</v>
      </c>
      <c r="E407" t="s">
        <v>15</v>
      </c>
      <c r="F407" t="s">
        <v>21</v>
      </c>
      <c r="G407" t="s">
        <v>37</v>
      </c>
      <c r="H407">
        <v>8</v>
      </c>
      <c r="I407">
        <v>373344</v>
      </c>
      <c r="K407" t="str">
        <f>IF(AND(data_tab[[#This Row],[Revenue]]="",data_tab[[#This Row],[Cost]]=""),"Remove",IF(OR(data_tab[[#This Row],[Revenue]]="",data_tab[[#This Row],[Cost]]=""),"Flag","Valid"))</f>
        <v>Flag</v>
      </c>
      <c r="L407" t="str">
        <f>IF((COUNTIFS(data_tab[Revenue],data_tab[[#This Row],[Revenue]],data_tab[Cost],data_tab[[#This Row],[Cost]]))&gt;1,"Duplicate","Unique")</f>
        <v>Unique</v>
      </c>
      <c r="M407">
        <f>data_tab[[#This Row],[Revenue]]-data_tab[[#This Row],[Cost]]</f>
        <v>373344</v>
      </c>
      <c r="N407" t="str">
        <f>IF(data_tab[[#This Row],[Revenue]]&lt;0,"Return","Sale")</f>
        <v>Sale</v>
      </c>
    </row>
    <row r="408" spans="1:14" hidden="1">
      <c r="A408" s="1">
        <v>46040</v>
      </c>
      <c r="B408">
        <f>MONTH(data_tab[[#This Row],[Order Date]])</f>
        <v>1</v>
      </c>
      <c r="C408">
        <f>YEAR(data_tab[[#This Row],[Order Date]])</f>
        <v>2026</v>
      </c>
      <c r="D408" t="s">
        <v>31</v>
      </c>
      <c r="E408" t="s">
        <v>32</v>
      </c>
      <c r="F408" t="s">
        <v>21</v>
      </c>
      <c r="G408" t="s">
        <v>37</v>
      </c>
      <c r="H408">
        <v>7</v>
      </c>
      <c r="J408">
        <v>124347.76485748201</v>
      </c>
      <c r="K408" t="str">
        <f>IF(AND(data_tab[[#This Row],[Revenue]]="",data_tab[[#This Row],[Cost]]=""),"Remove",IF(OR(data_tab[[#This Row],[Revenue]]="",data_tab[[#This Row],[Cost]]=""),"Flag","Valid"))</f>
        <v>Flag</v>
      </c>
      <c r="L408" t="str">
        <f>IF((COUNTIFS(data_tab[Revenue],data_tab[[#This Row],[Revenue]],data_tab[Cost],data_tab[[#This Row],[Cost]]))&gt;1,"Duplicate","Unique")</f>
        <v>Unique</v>
      </c>
      <c r="M408">
        <f>data_tab[[#This Row],[Revenue]]-data_tab[[#This Row],[Cost]]</f>
        <v>-124347.76485748201</v>
      </c>
      <c r="N408" t="str">
        <f>IF(data_tab[[#This Row],[Revenue]]&lt;0,"Return","Sale")</f>
        <v>Sale</v>
      </c>
    </row>
    <row r="409" spans="1:14" hidden="1">
      <c r="A409" s="1">
        <v>46046</v>
      </c>
      <c r="B409">
        <f>MONTH(data_tab[[#This Row],[Order Date]])</f>
        <v>1</v>
      </c>
      <c r="C409">
        <f>YEAR(data_tab[[#This Row],[Order Date]])</f>
        <v>2026</v>
      </c>
      <c r="D409" t="s">
        <v>35</v>
      </c>
      <c r="E409" t="s">
        <v>32</v>
      </c>
      <c r="F409" t="s">
        <v>24</v>
      </c>
      <c r="G409" t="s">
        <v>26</v>
      </c>
      <c r="H409">
        <v>3</v>
      </c>
      <c r="I409">
        <v>99693</v>
      </c>
      <c r="J409">
        <v>62362.8676050551</v>
      </c>
      <c r="K409" t="str">
        <f>IF(AND(data_tab[[#This Row],[Revenue]]="",data_tab[[#This Row],[Cost]]=""),"Remove",IF(OR(data_tab[[#This Row],[Revenue]]="",data_tab[[#This Row],[Cost]]=""),"Flag","Valid"))</f>
        <v>Valid</v>
      </c>
      <c r="L409" t="str">
        <f>IF((COUNTIFS(data_tab[Revenue],data_tab[[#This Row],[Revenue]],data_tab[Cost],data_tab[[#This Row],[Cost]]))&gt;1,"Duplicate","Unique")</f>
        <v>Unique</v>
      </c>
      <c r="M409">
        <f>data_tab[[#This Row],[Revenue]]-data_tab[[#This Row],[Cost]]</f>
        <v>37330.1323949449</v>
      </c>
      <c r="N409" t="str">
        <f>IF(data_tab[[#This Row],[Revenue]]&lt;0,"Return","Sale")</f>
        <v>Sale</v>
      </c>
    </row>
    <row r="410" spans="1:14" hidden="1">
      <c r="A410" s="1">
        <v>46197</v>
      </c>
      <c r="B410">
        <f>MONTH(data_tab[[#This Row],[Order Date]])</f>
        <v>6</v>
      </c>
      <c r="C410">
        <f>YEAR(data_tab[[#This Row],[Order Date]])</f>
        <v>2026</v>
      </c>
      <c r="D410" t="s">
        <v>14</v>
      </c>
      <c r="E410" t="s">
        <v>15</v>
      </c>
      <c r="F410" t="s">
        <v>21</v>
      </c>
      <c r="G410" t="s">
        <v>17</v>
      </c>
      <c r="H410">
        <v>4</v>
      </c>
      <c r="I410">
        <v>77572</v>
      </c>
      <c r="J410">
        <v>45202.0928265931</v>
      </c>
      <c r="K410" t="str">
        <f>IF(AND(data_tab[[#This Row],[Revenue]]="",data_tab[[#This Row],[Cost]]=""),"Remove",IF(OR(data_tab[[#This Row],[Revenue]]="",data_tab[[#This Row],[Cost]]=""),"Flag","Valid"))</f>
        <v>Valid</v>
      </c>
      <c r="L410" t="str">
        <f>IF((COUNTIFS(data_tab[Revenue],data_tab[[#This Row],[Revenue]],data_tab[Cost],data_tab[[#This Row],[Cost]]))&gt;1,"Duplicate","Unique")</f>
        <v>Unique</v>
      </c>
      <c r="M410">
        <f>data_tab[[#This Row],[Revenue]]-data_tab[[#This Row],[Cost]]</f>
        <v>32369.9071734069</v>
      </c>
      <c r="N410" t="str">
        <f>IF(data_tab[[#This Row],[Revenue]]&lt;0,"Return","Sale")</f>
        <v>Sale</v>
      </c>
    </row>
    <row r="411" spans="1:14" hidden="1">
      <c r="A411" s="1">
        <v>46062</v>
      </c>
      <c r="B411">
        <f>MONTH(data_tab[[#This Row],[Order Date]])</f>
        <v>2</v>
      </c>
      <c r="C411">
        <f>YEAR(data_tab[[#This Row],[Order Date]])</f>
        <v>2026</v>
      </c>
      <c r="D411" t="s">
        <v>20</v>
      </c>
      <c r="E411" t="s">
        <v>15</v>
      </c>
      <c r="F411" t="s">
        <v>36</v>
      </c>
      <c r="G411" t="s">
        <v>26</v>
      </c>
      <c r="H411">
        <v>1</v>
      </c>
      <c r="I411">
        <v>37486</v>
      </c>
      <c r="J411">
        <v>33107.531595707696</v>
      </c>
      <c r="K411" t="str">
        <f>IF(AND(data_tab[[#This Row],[Revenue]]="",data_tab[[#This Row],[Cost]]=""),"Remove",IF(OR(data_tab[[#This Row],[Revenue]]="",data_tab[[#This Row],[Cost]]=""),"Flag","Valid"))</f>
        <v>Valid</v>
      </c>
      <c r="L411" t="str">
        <f>IF((COUNTIFS(data_tab[Revenue],data_tab[[#This Row],[Revenue]],data_tab[Cost],data_tab[[#This Row],[Cost]]))&gt;1,"Duplicate","Unique")</f>
        <v>Unique</v>
      </c>
      <c r="M411">
        <f>data_tab[[#This Row],[Revenue]]-data_tab[[#This Row],[Cost]]</f>
        <v>4378.4684042923036</v>
      </c>
      <c r="N411" t="str">
        <f>IF(data_tab[[#This Row],[Revenue]]&lt;0,"Return","Sale")</f>
        <v>Sale</v>
      </c>
    </row>
    <row r="412" spans="1:14">
      <c r="A412" s="1">
        <v>46170</v>
      </c>
      <c r="B412">
        <f>MONTH(data_tab[[#This Row],[Order Date]])</f>
        <v>5</v>
      </c>
      <c r="C412">
        <f>YEAR(data_tab[[#This Row],[Order Date]])</f>
        <v>2026</v>
      </c>
      <c r="D412" t="s">
        <v>23</v>
      </c>
      <c r="E412" t="s">
        <v>15</v>
      </c>
      <c r="F412" t="s">
        <v>16</v>
      </c>
      <c r="G412" t="s">
        <v>33</v>
      </c>
      <c r="H412">
        <v>4</v>
      </c>
      <c r="I412">
        <v>159168</v>
      </c>
      <c r="J412">
        <v>87749.060557301797</v>
      </c>
      <c r="K412" t="str">
        <f>IF(AND(data_tab[[#This Row],[Revenue]]="",data_tab[[#This Row],[Cost]]=""),"Remove",IF(OR(data_tab[[#This Row],[Revenue]]="",data_tab[[#This Row],[Cost]]=""),"Flag","Valid"))</f>
        <v>Valid</v>
      </c>
      <c r="L412" t="str">
        <f>IF((COUNTIFS(data_tab[Revenue],data_tab[[#This Row],[Revenue]],data_tab[Cost],data_tab[[#This Row],[Cost]]))&gt;1,"Duplicate","Unique")</f>
        <v>Unique</v>
      </c>
      <c r="M412">
        <f>data_tab[[#This Row],[Revenue]]-data_tab[[#This Row],[Cost]]</f>
        <v>71418.939442698203</v>
      </c>
      <c r="N412" t="str">
        <f>IF(data_tab[[#This Row],[Revenue]]&lt;0,"Return","Sale")</f>
        <v>Sale</v>
      </c>
    </row>
    <row r="413" spans="1:14" hidden="1">
      <c r="A413" s="1">
        <v>46031</v>
      </c>
      <c r="B413">
        <f>MONTH(data_tab[[#This Row],[Order Date]])</f>
        <v>1</v>
      </c>
      <c r="C413">
        <f>YEAR(data_tab[[#This Row],[Order Date]])</f>
        <v>2026</v>
      </c>
      <c r="D413" t="s">
        <v>14</v>
      </c>
      <c r="E413" t="s">
        <v>15</v>
      </c>
      <c r="F413" t="s">
        <v>21</v>
      </c>
      <c r="G413" t="s">
        <v>33</v>
      </c>
      <c r="H413">
        <v>2</v>
      </c>
      <c r="I413">
        <v>95520</v>
      </c>
      <c r="K413" t="str">
        <f>IF(AND(data_tab[[#This Row],[Revenue]]="",data_tab[[#This Row],[Cost]]=""),"Remove",IF(OR(data_tab[[#This Row],[Revenue]]="",data_tab[[#This Row],[Cost]]=""),"Flag","Valid"))</f>
        <v>Flag</v>
      </c>
      <c r="L413" t="str">
        <f>IF((COUNTIFS(data_tab[Revenue],data_tab[[#This Row],[Revenue]],data_tab[Cost],data_tab[[#This Row],[Cost]]))&gt;1,"Duplicate","Unique")</f>
        <v>Unique</v>
      </c>
      <c r="M413">
        <f>data_tab[[#This Row],[Revenue]]-data_tab[[#This Row],[Cost]]</f>
        <v>95520</v>
      </c>
      <c r="N413" t="str">
        <f>IF(data_tab[[#This Row],[Revenue]]&lt;0,"Return","Sale")</f>
        <v>Sale</v>
      </c>
    </row>
    <row r="414" spans="1:14" hidden="1">
      <c r="A414" s="1">
        <v>46120</v>
      </c>
      <c r="B414">
        <f>MONTH(data_tab[[#This Row],[Order Date]])</f>
        <v>4</v>
      </c>
      <c r="C414">
        <f>YEAR(data_tab[[#This Row],[Order Date]])</f>
        <v>2026</v>
      </c>
      <c r="D414" t="s">
        <v>40</v>
      </c>
      <c r="E414" t="s">
        <v>15</v>
      </c>
      <c r="F414" t="s">
        <v>16</v>
      </c>
      <c r="G414" t="s">
        <v>17</v>
      </c>
      <c r="H414">
        <v>9</v>
      </c>
      <c r="I414">
        <v>173034</v>
      </c>
      <c r="J414">
        <v>102930.254445996</v>
      </c>
      <c r="K414" t="str">
        <f>IF(AND(data_tab[[#This Row],[Revenue]]="",data_tab[[#This Row],[Cost]]=""),"Remove",IF(OR(data_tab[[#This Row],[Revenue]]="",data_tab[[#This Row],[Cost]]=""),"Flag","Valid"))</f>
        <v>Valid</v>
      </c>
      <c r="L414" t="str">
        <f>IF((COUNTIFS(data_tab[Revenue],data_tab[[#This Row],[Revenue]],data_tab[Cost],data_tab[[#This Row],[Cost]]))&gt;1,"Duplicate","Unique")</f>
        <v>Unique</v>
      </c>
      <c r="M414">
        <f>data_tab[[#This Row],[Revenue]]-data_tab[[#This Row],[Cost]]</f>
        <v>70103.745554003995</v>
      </c>
      <c r="N414" t="str">
        <f>IF(data_tab[[#This Row],[Revenue]]&lt;0,"Return","Sale")</f>
        <v>Sale</v>
      </c>
    </row>
    <row r="415" spans="1:14">
      <c r="A415" s="1">
        <v>46150</v>
      </c>
      <c r="B415">
        <f>MONTH(data_tab[[#This Row],[Order Date]])</f>
        <v>5</v>
      </c>
      <c r="C415">
        <f>YEAR(data_tab[[#This Row],[Order Date]])</f>
        <v>2026</v>
      </c>
      <c r="D415" t="s">
        <v>23</v>
      </c>
      <c r="E415" t="s">
        <v>15</v>
      </c>
      <c r="F415" t="s">
        <v>16</v>
      </c>
      <c r="G415" t="s">
        <v>37</v>
      </c>
      <c r="H415">
        <v>7</v>
      </c>
      <c r="I415">
        <v>142275</v>
      </c>
      <c r="J415">
        <v>96788.4869050048</v>
      </c>
      <c r="K415" t="str">
        <f>IF(AND(data_tab[[#This Row],[Revenue]]="",data_tab[[#This Row],[Cost]]=""),"Remove",IF(OR(data_tab[[#This Row],[Revenue]]="",data_tab[[#This Row],[Cost]]=""),"Flag","Valid"))</f>
        <v>Valid</v>
      </c>
      <c r="L415" t="str">
        <f>IF((COUNTIFS(data_tab[Revenue],data_tab[[#This Row],[Revenue]],data_tab[Cost],data_tab[[#This Row],[Cost]]))&gt;1,"Duplicate","Unique")</f>
        <v>Unique</v>
      </c>
      <c r="M415">
        <f>data_tab[[#This Row],[Revenue]]-data_tab[[#This Row],[Cost]]</f>
        <v>45486.5130949952</v>
      </c>
      <c r="N415" t="str">
        <f>IF(data_tab[[#This Row],[Revenue]]&lt;0,"Return","Sale")</f>
        <v>Sale</v>
      </c>
    </row>
    <row r="416" spans="1:14" hidden="1">
      <c r="A416" s="1">
        <v>46048</v>
      </c>
      <c r="B416">
        <f>MONTH(data_tab[[#This Row],[Order Date]])</f>
        <v>1</v>
      </c>
      <c r="C416">
        <f>YEAR(data_tab[[#This Row],[Order Date]])</f>
        <v>2026</v>
      </c>
      <c r="D416" t="s">
        <v>40</v>
      </c>
      <c r="E416" t="s">
        <v>15</v>
      </c>
      <c r="F416" t="s">
        <v>36</v>
      </c>
      <c r="G416" t="s">
        <v>33</v>
      </c>
      <c r="H416">
        <v>4</v>
      </c>
      <c r="I416">
        <v>-46232</v>
      </c>
      <c r="J416">
        <v>37910.932707641499</v>
      </c>
      <c r="K416" t="str">
        <f>IF(AND(data_tab[[#This Row],[Revenue]]="",data_tab[[#This Row],[Cost]]=""),"Remove",IF(OR(data_tab[[#This Row],[Revenue]]="",data_tab[[#This Row],[Cost]]=""),"Flag","Valid"))</f>
        <v>Valid</v>
      </c>
      <c r="L416" t="str">
        <f>IF((COUNTIFS(data_tab[Revenue],data_tab[[#This Row],[Revenue]],data_tab[Cost],data_tab[[#This Row],[Cost]]))&gt;1,"Duplicate","Unique")</f>
        <v>Unique</v>
      </c>
      <c r="M416">
        <f>data_tab[[#This Row],[Revenue]]-data_tab[[#This Row],[Cost]]</f>
        <v>-84142.932707641507</v>
      </c>
      <c r="N416" t="str">
        <f>IF(data_tab[[#This Row],[Revenue]]&lt;0,"Return","Sale")</f>
        <v>Return</v>
      </c>
    </row>
    <row r="417" spans="1:14" hidden="1">
      <c r="A417" s="1">
        <v>46130</v>
      </c>
      <c r="B417">
        <f>MONTH(data_tab[[#This Row],[Order Date]])</f>
        <v>4</v>
      </c>
      <c r="C417">
        <f>YEAR(data_tab[[#This Row],[Order Date]])</f>
        <v>2026</v>
      </c>
      <c r="D417" t="s">
        <v>23</v>
      </c>
      <c r="E417" t="s">
        <v>15</v>
      </c>
      <c r="F417" t="s">
        <v>16</v>
      </c>
      <c r="G417" t="s">
        <v>33</v>
      </c>
      <c r="H417">
        <v>5</v>
      </c>
      <c r="I417">
        <v>92235</v>
      </c>
      <c r="J417">
        <v>66857.036050733703</v>
      </c>
      <c r="K417" t="str">
        <f>IF(AND(data_tab[[#This Row],[Revenue]]="",data_tab[[#This Row],[Cost]]=""),"Remove",IF(OR(data_tab[[#This Row],[Revenue]]="",data_tab[[#This Row],[Cost]]=""),"Flag","Valid"))</f>
        <v>Valid</v>
      </c>
      <c r="L417" t="str">
        <f>IF((COUNTIFS(data_tab[Revenue],data_tab[[#This Row],[Revenue]],data_tab[Cost],data_tab[[#This Row],[Cost]]))&gt;1,"Duplicate","Unique")</f>
        <v>Unique</v>
      </c>
      <c r="M417">
        <f>data_tab[[#This Row],[Revenue]]-data_tab[[#This Row],[Cost]]</f>
        <v>25377.963949266297</v>
      </c>
      <c r="N417" t="str">
        <f>IF(data_tab[[#This Row],[Revenue]]&lt;0,"Return","Sale")</f>
        <v>Sale</v>
      </c>
    </row>
    <row r="418" spans="1:14" hidden="1">
      <c r="A418" s="1">
        <v>46038</v>
      </c>
      <c r="B418">
        <f>MONTH(data_tab[[#This Row],[Order Date]])</f>
        <v>1</v>
      </c>
      <c r="C418">
        <f>YEAR(data_tab[[#This Row],[Order Date]])</f>
        <v>2026</v>
      </c>
      <c r="D418" t="s">
        <v>23</v>
      </c>
      <c r="E418" t="s">
        <v>15</v>
      </c>
      <c r="F418" t="s">
        <v>24</v>
      </c>
      <c r="G418" t="s">
        <v>33</v>
      </c>
      <c r="H418">
        <v>6</v>
      </c>
      <c r="I418">
        <v>114144</v>
      </c>
      <c r="J418">
        <v>73552.659572526303</v>
      </c>
      <c r="K418" t="str">
        <f>IF(AND(data_tab[[#This Row],[Revenue]]="",data_tab[[#This Row],[Cost]]=""),"Remove",IF(OR(data_tab[[#This Row],[Revenue]]="",data_tab[[#This Row],[Cost]]=""),"Flag","Valid"))</f>
        <v>Valid</v>
      </c>
      <c r="L418" t="str">
        <f>IF((COUNTIFS(data_tab[Revenue],data_tab[[#This Row],[Revenue]],data_tab[Cost],data_tab[[#This Row],[Cost]]))&gt;1,"Duplicate","Unique")</f>
        <v>Unique</v>
      </c>
      <c r="M418">
        <f>data_tab[[#This Row],[Revenue]]-data_tab[[#This Row],[Cost]]</f>
        <v>40591.340427473697</v>
      </c>
      <c r="N418" t="str">
        <f>IF(data_tab[[#This Row],[Revenue]]&lt;0,"Return","Sale")</f>
        <v>Sale</v>
      </c>
    </row>
    <row r="419" spans="1:14" hidden="1">
      <c r="A419" s="1">
        <v>46028</v>
      </c>
      <c r="B419">
        <f>MONTH(data_tab[[#This Row],[Order Date]])</f>
        <v>1</v>
      </c>
      <c r="C419">
        <f>YEAR(data_tab[[#This Row],[Order Date]])</f>
        <v>2026</v>
      </c>
      <c r="D419" t="s">
        <v>14</v>
      </c>
      <c r="E419" t="s">
        <v>15</v>
      </c>
      <c r="F419" t="s">
        <v>21</v>
      </c>
      <c r="G419" t="s">
        <v>26</v>
      </c>
      <c r="H419">
        <v>10</v>
      </c>
      <c r="I419">
        <v>445890</v>
      </c>
      <c r="J419">
        <v>338721.40005699999</v>
      </c>
      <c r="K419" t="str">
        <f>IF(AND(data_tab[[#This Row],[Revenue]]="",data_tab[[#This Row],[Cost]]=""),"Remove",IF(OR(data_tab[[#This Row],[Revenue]]="",data_tab[[#This Row],[Cost]]=""),"Flag","Valid"))</f>
        <v>Valid</v>
      </c>
      <c r="L419" t="str">
        <f>IF((COUNTIFS(data_tab[Revenue],data_tab[[#This Row],[Revenue]],data_tab[Cost],data_tab[[#This Row],[Cost]]))&gt;1,"Duplicate","Unique")</f>
        <v>Unique</v>
      </c>
      <c r="M419">
        <f>data_tab[[#This Row],[Revenue]]-data_tab[[#This Row],[Cost]]</f>
        <v>107168.59994300001</v>
      </c>
      <c r="N419" t="str">
        <f>IF(data_tab[[#This Row],[Revenue]]&lt;0,"Return","Sale")</f>
        <v>Sale</v>
      </c>
    </row>
    <row r="420" spans="1:14" hidden="1">
      <c r="A420" s="1">
        <v>46195</v>
      </c>
      <c r="B420">
        <f>MONTH(data_tab[[#This Row],[Order Date]])</f>
        <v>6</v>
      </c>
      <c r="C420">
        <f>YEAR(data_tab[[#This Row],[Order Date]])</f>
        <v>2026</v>
      </c>
      <c r="D420" t="s">
        <v>29</v>
      </c>
      <c r="E420" t="s">
        <v>15</v>
      </c>
      <c r="F420" t="s">
        <v>24</v>
      </c>
      <c r="G420" t="s">
        <v>33</v>
      </c>
      <c r="H420">
        <v>10</v>
      </c>
      <c r="I420">
        <v>207770</v>
      </c>
      <c r="J420">
        <v>142426.50792584001</v>
      </c>
      <c r="K420" t="str">
        <f>IF(AND(data_tab[[#This Row],[Revenue]]="",data_tab[[#This Row],[Cost]]=""),"Remove",IF(OR(data_tab[[#This Row],[Revenue]]="",data_tab[[#This Row],[Cost]]=""),"Flag","Valid"))</f>
        <v>Valid</v>
      </c>
      <c r="L420" t="str">
        <f>IF((COUNTIFS(data_tab[Revenue],data_tab[[#This Row],[Revenue]],data_tab[Cost],data_tab[[#This Row],[Cost]]))&gt;1,"Duplicate","Unique")</f>
        <v>Unique</v>
      </c>
      <c r="M420">
        <f>data_tab[[#This Row],[Revenue]]-data_tab[[#This Row],[Cost]]</f>
        <v>65343.492074159993</v>
      </c>
      <c r="N420" t="str">
        <f>IF(data_tab[[#This Row],[Revenue]]&lt;0,"Return","Sale")</f>
        <v>Sale</v>
      </c>
    </row>
    <row r="421" spans="1:14" hidden="1">
      <c r="A421" s="1">
        <v>46109</v>
      </c>
      <c r="B421">
        <f>MONTH(data_tab[[#This Row],[Order Date]])</f>
        <v>3</v>
      </c>
      <c r="C421">
        <f>YEAR(data_tab[[#This Row],[Order Date]])</f>
        <v>2026</v>
      </c>
      <c r="D421" t="s">
        <v>29</v>
      </c>
      <c r="E421" t="s">
        <v>15</v>
      </c>
      <c r="F421" t="s">
        <v>24</v>
      </c>
      <c r="G421" t="s">
        <v>39</v>
      </c>
      <c r="H421">
        <v>3</v>
      </c>
      <c r="I421">
        <v>73557</v>
      </c>
      <c r="J421">
        <v>43493.310787021503</v>
      </c>
      <c r="K421" t="str">
        <f>IF(AND(data_tab[[#This Row],[Revenue]]="",data_tab[[#This Row],[Cost]]=""),"Remove",IF(OR(data_tab[[#This Row],[Revenue]]="",data_tab[[#This Row],[Cost]]=""),"Flag","Valid"))</f>
        <v>Valid</v>
      </c>
      <c r="L421" t="str">
        <f>IF((COUNTIFS(data_tab[Revenue],data_tab[[#This Row],[Revenue]],data_tab[Cost],data_tab[[#This Row],[Cost]]))&gt;1,"Duplicate","Unique")</f>
        <v>Unique</v>
      </c>
      <c r="M421">
        <f>data_tab[[#This Row],[Revenue]]-data_tab[[#This Row],[Cost]]</f>
        <v>30063.689212978497</v>
      </c>
      <c r="N421" t="str">
        <f>IF(data_tab[[#This Row],[Revenue]]&lt;0,"Return","Sale")</f>
        <v>Sale</v>
      </c>
    </row>
    <row r="422" spans="1:14" hidden="1">
      <c r="A422" s="1">
        <v>46188</v>
      </c>
      <c r="B422">
        <f>MONTH(data_tab[[#This Row],[Order Date]])</f>
        <v>6</v>
      </c>
      <c r="C422">
        <f>YEAR(data_tab[[#This Row],[Order Date]])</f>
        <v>2026</v>
      </c>
      <c r="D422" t="s">
        <v>23</v>
      </c>
      <c r="E422" t="s">
        <v>15</v>
      </c>
      <c r="F422" t="s">
        <v>16</v>
      </c>
      <c r="G422" t="s">
        <v>41</v>
      </c>
      <c r="H422">
        <v>10</v>
      </c>
      <c r="I422">
        <v>-361400</v>
      </c>
      <c r="J422">
        <v>320276.443304819</v>
      </c>
      <c r="K422" t="str">
        <f>IF(AND(data_tab[[#This Row],[Revenue]]="",data_tab[[#This Row],[Cost]]=""),"Remove",IF(OR(data_tab[[#This Row],[Revenue]]="",data_tab[[#This Row],[Cost]]=""),"Flag","Valid"))</f>
        <v>Valid</v>
      </c>
      <c r="L422" t="str">
        <f>IF((COUNTIFS(data_tab[Revenue],data_tab[[#This Row],[Revenue]],data_tab[Cost],data_tab[[#This Row],[Cost]]))&gt;1,"Duplicate","Unique")</f>
        <v>Unique</v>
      </c>
      <c r="M422">
        <f>data_tab[[#This Row],[Revenue]]-data_tab[[#This Row],[Cost]]</f>
        <v>-681676.44330481905</v>
      </c>
      <c r="N422" t="str">
        <f>IF(data_tab[[#This Row],[Revenue]]&lt;0,"Return","Sale")</f>
        <v>Return</v>
      </c>
    </row>
    <row r="423" spans="1:14" hidden="1">
      <c r="A423" s="1">
        <v>46083</v>
      </c>
      <c r="B423">
        <f>MONTH(data_tab[[#This Row],[Order Date]])</f>
        <v>3</v>
      </c>
      <c r="C423">
        <f>YEAR(data_tab[[#This Row],[Order Date]])</f>
        <v>2026</v>
      </c>
      <c r="D423" t="s">
        <v>14</v>
      </c>
      <c r="E423" t="s">
        <v>15</v>
      </c>
      <c r="F423" t="s">
        <v>24</v>
      </c>
      <c r="G423" t="s">
        <v>17</v>
      </c>
      <c r="H423">
        <v>3</v>
      </c>
      <c r="I423">
        <v>84060</v>
      </c>
      <c r="J423">
        <v>45493.585175848697</v>
      </c>
      <c r="K423" t="str">
        <f>IF(AND(data_tab[[#This Row],[Revenue]]="",data_tab[[#This Row],[Cost]]=""),"Remove",IF(OR(data_tab[[#This Row],[Revenue]]="",data_tab[[#This Row],[Cost]]=""),"Flag","Valid"))</f>
        <v>Valid</v>
      </c>
      <c r="L423" t="str">
        <f>IF((COUNTIFS(data_tab[Revenue],data_tab[[#This Row],[Revenue]],data_tab[Cost],data_tab[[#This Row],[Cost]]))&gt;1,"Duplicate","Unique")</f>
        <v>Unique</v>
      </c>
      <c r="M423">
        <f>data_tab[[#This Row],[Revenue]]-data_tab[[#This Row],[Cost]]</f>
        <v>38566.414824151303</v>
      </c>
      <c r="N423" t="str">
        <f>IF(data_tab[[#This Row],[Revenue]]&lt;0,"Return","Sale")</f>
        <v>Sale</v>
      </c>
    </row>
    <row r="424" spans="1:14" hidden="1">
      <c r="A424" s="1">
        <v>46029</v>
      </c>
      <c r="B424">
        <f>MONTH(data_tab[[#This Row],[Order Date]])</f>
        <v>1</v>
      </c>
      <c r="C424">
        <f>YEAR(data_tab[[#This Row],[Order Date]])</f>
        <v>2026</v>
      </c>
      <c r="D424" t="s">
        <v>20</v>
      </c>
      <c r="E424" t="s">
        <v>15</v>
      </c>
      <c r="F424" t="s">
        <v>24</v>
      </c>
      <c r="G424" t="s">
        <v>37</v>
      </c>
      <c r="H424">
        <v>10</v>
      </c>
      <c r="I424">
        <v>121760</v>
      </c>
      <c r="J424">
        <v>64986.295931018598</v>
      </c>
      <c r="K424" t="str">
        <f>IF(AND(data_tab[[#This Row],[Revenue]]="",data_tab[[#This Row],[Cost]]=""),"Remove",IF(OR(data_tab[[#This Row],[Revenue]]="",data_tab[[#This Row],[Cost]]=""),"Flag","Valid"))</f>
        <v>Valid</v>
      </c>
      <c r="L424" t="str">
        <f>IF((COUNTIFS(data_tab[Revenue],data_tab[[#This Row],[Revenue]],data_tab[Cost],data_tab[[#This Row],[Cost]]))&gt;1,"Duplicate","Unique")</f>
        <v>Unique</v>
      </c>
      <c r="M424">
        <f>data_tab[[#This Row],[Revenue]]-data_tab[[#This Row],[Cost]]</f>
        <v>56773.704068981402</v>
      </c>
      <c r="N424" t="str">
        <f>IF(data_tab[[#This Row],[Revenue]]&lt;0,"Return","Sale")</f>
        <v>Sale</v>
      </c>
    </row>
    <row r="425" spans="1:14" hidden="1">
      <c r="A425" s="1">
        <v>46095</v>
      </c>
      <c r="B425">
        <f>MONTH(data_tab[[#This Row],[Order Date]])</f>
        <v>3</v>
      </c>
      <c r="C425">
        <f>YEAR(data_tab[[#This Row],[Order Date]])</f>
        <v>2026</v>
      </c>
      <c r="D425" t="s">
        <v>40</v>
      </c>
      <c r="E425" t="s">
        <v>15</v>
      </c>
      <c r="F425" t="s">
        <v>21</v>
      </c>
      <c r="G425" t="s">
        <v>39</v>
      </c>
      <c r="H425">
        <v>1</v>
      </c>
      <c r="I425">
        <v>45486</v>
      </c>
      <c r="J425">
        <v>29235.5123073301</v>
      </c>
      <c r="K425" t="str">
        <f>IF(AND(data_tab[[#This Row],[Revenue]]="",data_tab[[#This Row],[Cost]]=""),"Remove",IF(OR(data_tab[[#This Row],[Revenue]]="",data_tab[[#This Row],[Cost]]=""),"Flag","Valid"))</f>
        <v>Valid</v>
      </c>
      <c r="L425" t="str">
        <f>IF((COUNTIFS(data_tab[Revenue],data_tab[[#This Row],[Revenue]],data_tab[Cost],data_tab[[#This Row],[Cost]]))&gt;1,"Duplicate","Unique")</f>
        <v>Unique</v>
      </c>
      <c r="M425">
        <f>data_tab[[#This Row],[Revenue]]-data_tab[[#This Row],[Cost]]</f>
        <v>16250.4876926699</v>
      </c>
      <c r="N425" t="str">
        <f>IF(data_tab[[#This Row],[Revenue]]&lt;0,"Return","Sale")</f>
        <v>Sale</v>
      </c>
    </row>
    <row r="426" spans="1:14">
      <c r="A426" s="1">
        <v>46161</v>
      </c>
      <c r="B426">
        <f>MONTH(data_tab[[#This Row],[Order Date]])</f>
        <v>5</v>
      </c>
      <c r="C426">
        <f>YEAR(data_tab[[#This Row],[Order Date]])</f>
        <v>2026</v>
      </c>
      <c r="D426" t="s">
        <v>31</v>
      </c>
      <c r="E426" t="s">
        <v>32</v>
      </c>
      <c r="F426" t="s">
        <v>21</v>
      </c>
      <c r="G426" t="s">
        <v>26</v>
      </c>
      <c r="H426">
        <v>10</v>
      </c>
      <c r="I426">
        <v>319200</v>
      </c>
      <c r="J426">
        <v>240172.14769081</v>
      </c>
      <c r="K426" t="str">
        <f>IF(AND(data_tab[[#This Row],[Revenue]]="",data_tab[[#This Row],[Cost]]=""),"Remove",IF(OR(data_tab[[#This Row],[Revenue]]="",data_tab[[#This Row],[Cost]]=""),"Flag","Valid"))</f>
        <v>Valid</v>
      </c>
      <c r="L426" t="str">
        <f>IF((COUNTIFS(data_tab[Revenue],data_tab[[#This Row],[Revenue]],data_tab[Cost],data_tab[[#This Row],[Cost]]))&gt;1,"Duplicate","Unique")</f>
        <v>Unique</v>
      </c>
      <c r="M426">
        <f>data_tab[[#This Row],[Revenue]]-data_tab[[#This Row],[Cost]]</f>
        <v>79027.852309189999</v>
      </c>
      <c r="N426" t="str">
        <f>IF(data_tab[[#This Row],[Revenue]]&lt;0,"Return","Sale")</f>
        <v>Sale</v>
      </c>
    </row>
    <row r="427" spans="1:14" hidden="1">
      <c r="A427" s="1">
        <v>46186</v>
      </c>
      <c r="B427">
        <f>MONTH(data_tab[[#This Row],[Order Date]])</f>
        <v>6</v>
      </c>
      <c r="C427">
        <f>YEAR(data_tab[[#This Row],[Order Date]])</f>
        <v>2026</v>
      </c>
      <c r="D427" t="s">
        <v>29</v>
      </c>
      <c r="E427" t="s">
        <v>15</v>
      </c>
      <c r="F427" t="s">
        <v>21</v>
      </c>
      <c r="G427" t="s">
        <v>39</v>
      </c>
      <c r="H427">
        <v>8</v>
      </c>
      <c r="I427">
        <v>-177408</v>
      </c>
      <c r="J427">
        <v>114661.155032087</v>
      </c>
      <c r="K427" t="str">
        <f>IF(AND(data_tab[[#This Row],[Revenue]]="",data_tab[[#This Row],[Cost]]=""),"Remove",IF(OR(data_tab[[#This Row],[Revenue]]="",data_tab[[#This Row],[Cost]]=""),"Flag","Valid"))</f>
        <v>Valid</v>
      </c>
      <c r="L427" t="str">
        <f>IF((COUNTIFS(data_tab[Revenue],data_tab[[#This Row],[Revenue]],data_tab[Cost],data_tab[[#This Row],[Cost]]))&gt;1,"Duplicate","Unique")</f>
        <v>Unique</v>
      </c>
      <c r="M427">
        <f>data_tab[[#This Row],[Revenue]]-data_tab[[#This Row],[Cost]]</f>
        <v>-292069.155032087</v>
      </c>
      <c r="N427" t="str">
        <f>IF(data_tab[[#This Row],[Revenue]]&lt;0,"Return","Sale")</f>
        <v>Return</v>
      </c>
    </row>
    <row r="428" spans="1:14" hidden="1">
      <c r="A428" s="1">
        <v>46057</v>
      </c>
      <c r="B428">
        <f>MONTH(data_tab[[#This Row],[Order Date]])</f>
        <v>2</v>
      </c>
      <c r="C428">
        <f>YEAR(data_tab[[#This Row],[Order Date]])</f>
        <v>2026</v>
      </c>
      <c r="D428" t="s">
        <v>20</v>
      </c>
      <c r="E428" t="s">
        <v>15</v>
      </c>
      <c r="F428" t="s">
        <v>36</v>
      </c>
      <c r="G428" t="s">
        <v>33</v>
      </c>
      <c r="H428">
        <v>5</v>
      </c>
      <c r="I428">
        <v>12990</v>
      </c>
      <c r="J428">
        <v>10474.4563810567</v>
      </c>
      <c r="K428" t="str">
        <f>IF(AND(data_tab[[#This Row],[Revenue]]="",data_tab[[#This Row],[Cost]]=""),"Remove",IF(OR(data_tab[[#This Row],[Revenue]]="",data_tab[[#This Row],[Cost]]=""),"Flag","Valid"))</f>
        <v>Valid</v>
      </c>
      <c r="L428" t="str">
        <f>IF((COUNTIFS(data_tab[Revenue],data_tab[[#This Row],[Revenue]],data_tab[Cost],data_tab[[#This Row],[Cost]]))&gt;1,"Duplicate","Unique")</f>
        <v>Unique</v>
      </c>
      <c r="M428">
        <f>data_tab[[#This Row],[Revenue]]-data_tab[[#This Row],[Cost]]</f>
        <v>2515.5436189433003</v>
      </c>
      <c r="N428" t="str">
        <f>IF(data_tab[[#This Row],[Revenue]]&lt;0,"Return","Sale")</f>
        <v>Sale</v>
      </c>
    </row>
    <row r="429" spans="1:14">
      <c r="A429" s="1">
        <v>46163</v>
      </c>
      <c r="B429">
        <f>MONTH(data_tab[[#This Row],[Order Date]])</f>
        <v>5</v>
      </c>
      <c r="C429">
        <f>YEAR(data_tab[[#This Row],[Order Date]])</f>
        <v>2026</v>
      </c>
      <c r="D429" t="s">
        <v>40</v>
      </c>
      <c r="E429" t="s">
        <v>15</v>
      </c>
      <c r="F429" t="s">
        <v>36</v>
      </c>
      <c r="G429" t="s">
        <v>33</v>
      </c>
      <c r="H429">
        <v>4</v>
      </c>
      <c r="I429">
        <v>50800</v>
      </c>
      <c r="J429">
        <v>39927.539814250398</v>
      </c>
      <c r="K429" t="str">
        <f>IF(AND(data_tab[[#This Row],[Revenue]]="",data_tab[[#This Row],[Cost]]=""),"Remove",IF(OR(data_tab[[#This Row],[Revenue]]="",data_tab[[#This Row],[Cost]]=""),"Flag","Valid"))</f>
        <v>Valid</v>
      </c>
      <c r="L429" t="str">
        <f>IF((COUNTIFS(data_tab[Revenue],data_tab[[#This Row],[Revenue]],data_tab[Cost],data_tab[[#This Row],[Cost]]))&gt;1,"Duplicate","Unique")</f>
        <v>Unique</v>
      </c>
      <c r="M429">
        <f>data_tab[[#This Row],[Revenue]]-data_tab[[#This Row],[Cost]]</f>
        <v>10872.460185749602</v>
      </c>
      <c r="N429" t="str">
        <f>IF(data_tab[[#This Row],[Revenue]]&lt;0,"Return","Sale")</f>
        <v>Sale</v>
      </c>
    </row>
    <row r="430" spans="1:14" hidden="1">
      <c r="A430" s="1">
        <v>46043</v>
      </c>
      <c r="B430">
        <f>MONTH(data_tab[[#This Row],[Order Date]])</f>
        <v>1</v>
      </c>
      <c r="C430">
        <f>YEAR(data_tab[[#This Row],[Order Date]])</f>
        <v>2026</v>
      </c>
      <c r="D430" t="s">
        <v>23</v>
      </c>
      <c r="E430" t="s">
        <v>15</v>
      </c>
      <c r="F430" t="s">
        <v>16</v>
      </c>
      <c r="G430" t="s">
        <v>37</v>
      </c>
      <c r="H430">
        <v>9</v>
      </c>
      <c r="I430">
        <v>176553</v>
      </c>
      <c r="J430">
        <v>117436.267244017</v>
      </c>
      <c r="K430" t="str">
        <f>IF(AND(data_tab[[#This Row],[Revenue]]="",data_tab[[#This Row],[Cost]]=""),"Remove",IF(OR(data_tab[[#This Row],[Revenue]]="",data_tab[[#This Row],[Cost]]=""),"Flag","Valid"))</f>
        <v>Valid</v>
      </c>
      <c r="L430" t="str">
        <f>IF((COUNTIFS(data_tab[Revenue],data_tab[[#This Row],[Revenue]],data_tab[Cost],data_tab[[#This Row],[Cost]]))&gt;1,"Duplicate","Unique")</f>
        <v>Unique</v>
      </c>
      <c r="M430">
        <f>data_tab[[#This Row],[Revenue]]-data_tab[[#This Row],[Cost]]</f>
        <v>59116.732755983001</v>
      </c>
      <c r="N430" t="str">
        <f>IF(data_tab[[#This Row],[Revenue]]&lt;0,"Return","Sale")</f>
        <v>Sale</v>
      </c>
    </row>
    <row r="431" spans="1:14" hidden="1">
      <c r="A431" s="1">
        <v>46186</v>
      </c>
      <c r="B431">
        <f>MONTH(data_tab[[#This Row],[Order Date]])</f>
        <v>6</v>
      </c>
      <c r="C431">
        <f>YEAR(data_tab[[#This Row],[Order Date]])</f>
        <v>2026</v>
      </c>
      <c r="D431" t="s">
        <v>14</v>
      </c>
      <c r="E431" t="s">
        <v>15</v>
      </c>
      <c r="F431" t="s">
        <v>36</v>
      </c>
      <c r="G431" t="s">
        <v>17</v>
      </c>
      <c r="H431">
        <v>6</v>
      </c>
      <c r="I431">
        <v>19626</v>
      </c>
      <c r="K431" t="str">
        <f>IF(AND(data_tab[[#This Row],[Revenue]]="",data_tab[[#This Row],[Cost]]=""),"Remove",IF(OR(data_tab[[#This Row],[Revenue]]="",data_tab[[#This Row],[Cost]]=""),"Flag","Valid"))</f>
        <v>Flag</v>
      </c>
      <c r="L431" t="str">
        <f>IF((COUNTIFS(data_tab[Revenue],data_tab[[#This Row],[Revenue]],data_tab[Cost],data_tab[[#This Row],[Cost]]))&gt;1,"Duplicate","Unique")</f>
        <v>Unique</v>
      </c>
      <c r="M431">
        <f>data_tab[[#This Row],[Revenue]]-data_tab[[#This Row],[Cost]]</f>
        <v>19626</v>
      </c>
      <c r="N431" t="str">
        <f>IF(data_tab[[#This Row],[Revenue]]&lt;0,"Return","Sale")</f>
        <v>Sale</v>
      </c>
    </row>
    <row r="432" spans="1:14" hidden="1">
      <c r="A432" s="1">
        <v>46095</v>
      </c>
      <c r="B432">
        <f>MONTH(data_tab[[#This Row],[Order Date]])</f>
        <v>3</v>
      </c>
      <c r="C432">
        <f>YEAR(data_tab[[#This Row],[Order Date]])</f>
        <v>2026</v>
      </c>
      <c r="D432" t="s">
        <v>14</v>
      </c>
      <c r="E432" t="s">
        <v>15</v>
      </c>
      <c r="F432" t="s">
        <v>24</v>
      </c>
      <c r="G432" t="s">
        <v>17</v>
      </c>
      <c r="H432">
        <v>2</v>
      </c>
      <c r="I432">
        <v>23750</v>
      </c>
      <c r="J432">
        <v>12014.886045374</v>
      </c>
      <c r="K432" t="str">
        <f>IF(AND(data_tab[[#This Row],[Revenue]]="",data_tab[[#This Row],[Cost]]=""),"Remove",IF(OR(data_tab[[#This Row],[Revenue]]="",data_tab[[#This Row],[Cost]]=""),"Flag","Valid"))</f>
        <v>Valid</v>
      </c>
      <c r="L432" t="str">
        <f>IF((COUNTIFS(data_tab[Revenue],data_tab[[#This Row],[Revenue]],data_tab[Cost],data_tab[[#This Row],[Cost]]))&gt;1,"Duplicate","Unique")</f>
        <v>Unique</v>
      </c>
      <c r="M432">
        <f>data_tab[[#This Row],[Revenue]]-data_tab[[#This Row],[Cost]]</f>
        <v>11735.113954626</v>
      </c>
      <c r="N432" t="str">
        <f>IF(data_tab[[#This Row],[Revenue]]&lt;0,"Return","Sale")</f>
        <v>Sale</v>
      </c>
    </row>
    <row r="433" spans="1:14">
      <c r="A433" s="1">
        <v>46150</v>
      </c>
      <c r="B433">
        <f>MONTH(data_tab[[#This Row],[Order Date]])</f>
        <v>5</v>
      </c>
      <c r="C433">
        <f>YEAR(data_tab[[#This Row],[Order Date]])</f>
        <v>2026</v>
      </c>
      <c r="D433" t="s">
        <v>23</v>
      </c>
      <c r="E433" t="s">
        <v>15</v>
      </c>
      <c r="F433" t="s">
        <v>24</v>
      </c>
      <c r="G433" t="s">
        <v>37</v>
      </c>
      <c r="H433">
        <v>2</v>
      </c>
      <c r="I433">
        <v>23148</v>
      </c>
      <c r="J433">
        <v>12092.870238486001</v>
      </c>
      <c r="K433" t="str">
        <f>IF(AND(data_tab[[#This Row],[Revenue]]="",data_tab[[#This Row],[Cost]]=""),"Remove",IF(OR(data_tab[[#This Row],[Revenue]]="",data_tab[[#This Row],[Cost]]=""),"Flag","Valid"))</f>
        <v>Valid</v>
      </c>
      <c r="L433" t="str">
        <f>IF((COUNTIFS(data_tab[Revenue],data_tab[[#This Row],[Revenue]],data_tab[Cost],data_tab[[#This Row],[Cost]]))&gt;1,"Duplicate","Unique")</f>
        <v>Unique</v>
      </c>
      <c r="M433">
        <f>data_tab[[#This Row],[Revenue]]-data_tab[[#This Row],[Cost]]</f>
        <v>11055.129761513999</v>
      </c>
      <c r="N433" t="str">
        <f>IF(data_tab[[#This Row],[Revenue]]&lt;0,"Return","Sale")</f>
        <v>Sale</v>
      </c>
    </row>
    <row r="434" spans="1:14" hidden="1">
      <c r="A434" s="1">
        <v>46072</v>
      </c>
      <c r="B434">
        <f>MONTH(data_tab[[#This Row],[Order Date]])</f>
        <v>2</v>
      </c>
      <c r="C434">
        <f>YEAR(data_tab[[#This Row],[Order Date]])</f>
        <v>2026</v>
      </c>
      <c r="D434" t="s">
        <v>29</v>
      </c>
      <c r="E434" t="s">
        <v>15</v>
      </c>
      <c r="F434" t="s">
        <v>24</v>
      </c>
      <c r="G434" t="s">
        <v>39</v>
      </c>
      <c r="H434">
        <v>4</v>
      </c>
      <c r="I434">
        <v>108872</v>
      </c>
      <c r="J434">
        <v>88021.937782940702</v>
      </c>
      <c r="K434" t="str">
        <f>IF(AND(data_tab[[#This Row],[Revenue]]="",data_tab[[#This Row],[Cost]]=""),"Remove",IF(OR(data_tab[[#This Row],[Revenue]]="",data_tab[[#This Row],[Cost]]=""),"Flag","Valid"))</f>
        <v>Valid</v>
      </c>
      <c r="L434" t="str">
        <f>IF((COUNTIFS(data_tab[Revenue],data_tab[[#This Row],[Revenue]],data_tab[Cost],data_tab[[#This Row],[Cost]]))&gt;1,"Duplicate","Unique")</f>
        <v>Unique</v>
      </c>
      <c r="M434">
        <f>data_tab[[#This Row],[Revenue]]-data_tab[[#This Row],[Cost]]</f>
        <v>20850.062217059298</v>
      </c>
      <c r="N434" t="str">
        <f>IF(data_tab[[#This Row],[Revenue]]&lt;0,"Return","Sale")</f>
        <v>Sale</v>
      </c>
    </row>
    <row r="435" spans="1:14" hidden="1">
      <c r="A435" s="1">
        <v>46140</v>
      </c>
      <c r="B435">
        <f>MONTH(data_tab[[#This Row],[Order Date]])</f>
        <v>4</v>
      </c>
      <c r="C435">
        <f>YEAR(data_tab[[#This Row],[Order Date]])</f>
        <v>2026</v>
      </c>
      <c r="D435" t="s">
        <v>14</v>
      </c>
      <c r="E435" t="s">
        <v>15</v>
      </c>
      <c r="F435" t="s">
        <v>21</v>
      </c>
      <c r="G435" t="s">
        <v>33</v>
      </c>
      <c r="H435">
        <v>7</v>
      </c>
      <c r="I435">
        <v>326613</v>
      </c>
      <c r="J435">
        <v>288884.48175282398</v>
      </c>
      <c r="K435" t="str">
        <f>IF(AND(data_tab[[#This Row],[Revenue]]="",data_tab[[#This Row],[Cost]]=""),"Remove",IF(OR(data_tab[[#This Row],[Revenue]]="",data_tab[[#This Row],[Cost]]=""),"Flag","Valid"))</f>
        <v>Valid</v>
      </c>
      <c r="L435" t="str">
        <f>IF((COUNTIFS(data_tab[Revenue],data_tab[[#This Row],[Revenue]],data_tab[Cost],data_tab[[#This Row],[Cost]]))&gt;1,"Duplicate","Unique")</f>
        <v>Unique</v>
      </c>
      <c r="M435">
        <f>data_tab[[#This Row],[Revenue]]-data_tab[[#This Row],[Cost]]</f>
        <v>37728.51824717602</v>
      </c>
      <c r="N435" t="str">
        <f>IF(data_tab[[#This Row],[Revenue]]&lt;0,"Return","Sale")</f>
        <v>Sale</v>
      </c>
    </row>
    <row r="436" spans="1:14">
      <c r="A436" s="1">
        <v>46163</v>
      </c>
      <c r="B436">
        <f>MONTH(data_tab[[#This Row],[Order Date]])</f>
        <v>5</v>
      </c>
      <c r="C436">
        <f>YEAR(data_tab[[#This Row],[Order Date]])</f>
        <v>2026</v>
      </c>
      <c r="D436" t="s">
        <v>14</v>
      </c>
      <c r="E436" t="s">
        <v>15</v>
      </c>
      <c r="F436" t="s">
        <v>16</v>
      </c>
      <c r="G436" t="s">
        <v>17</v>
      </c>
      <c r="H436">
        <v>6</v>
      </c>
      <c r="I436">
        <v>32478</v>
      </c>
      <c r="J436">
        <v>27458.949467286198</v>
      </c>
      <c r="K436" t="str">
        <f>IF(AND(data_tab[[#This Row],[Revenue]]="",data_tab[[#This Row],[Cost]]=""),"Remove",IF(OR(data_tab[[#This Row],[Revenue]]="",data_tab[[#This Row],[Cost]]=""),"Flag","Valid"))</f>
        <v>Valid</v>
      </c>
      <c r="L436" t="str">
        <f>IF((COUNTIFS(data_tab[Revenue],data_tab[[#This Row],[Revenue]],data_tab[Cost],data_tab[[#This Row],[Cost]]))&gt;1,"Duplicate","Unique")</f>
        <v>Unique</v>
      </c>
      <c r="M436">
        <f>data_tab[[#This Row],[Revenue]]-data_tab[[#This Row],[Cost]]</f>
        <v>5019.0505327138017</v>
      </c>
      <c r="N436" t="str">
        <f>IF(data_tab[[#This Row],[Revenue]]&lt;0,"Return","Sale")</f>
        <v>Sale</v>
      </c>
    </row>
    <row r="437" spans="1:14" hidden="1">
      <c r="A437" s="1">
        <v>46106</v>
      </c>
      <c r="B437">
        <f>MONTH(data_tab[[#This Row],[Order Date]])</f>
        <v>3</v>
      </c>
      <c r="C437">
        <f>YEAR(data_tab[[#This Row],[Order Date]])</f>
        <v>2026</v>
      </c>
      <c r="D437" t="s">
        <v>23</v>
      </c>
      <c r="E437" t="s">
        <v>15</v>
      </c>
      <c r="F437" t="s">
        <v>16</v>
      </c>
      <c r="G437" t="s">
        <v>26</v>
      </c>
      <c r="H437">
        <v>2</v>
      </c>
      <c r="K437" t="str">
        <f>IF(AND(data_tab[[#This Row],[Revenue]]="",data_tab[[#This Row],[Cost]]=""),"Remove",IF(OR(data_tab[[#This Row],[Revenue]]="",data_tab[[#This Row],[Cost]]=""),"Flag","Valid"))</f>
        <v>Remove</v>
      </c>
      <c r="L437" t="str">
        <f>IF((COUNTIFS(data_tab[Revenue],data_tab[[#This Row],[Revenue]],data_tab[Cost],data_tab[[#This Row],[Cost]]))&gt;1,"Duplicate","Unique")</f>
        <v>Unique</v>
      </c>
      <c r="M437">
        <f>data_tab[[#This Row],[Revenue]]-data_tab[[#This Row],[Cost]]</f>
        <v>0</v>
      </c>
      <c r="N437" t="str">
        <f>IF(data_tab[[#This Row],[Revenue]]&lt;0,"Return","Sale")</f>
        <v>Sale</v>
      </c>
    </row>
    <row r="438" spans="1:14">
      <c r="A438" s="1">
        <v>46144</v>
      </c>
      <c r="B438">
        <f>MONTH(data_tab[[#This Row],[Order Date]])</f>
        <v>5</v>
      </c>
      <c r="C438">
        <f>YEAR(data_tab[[#This Row],[Order Date]])</f>
        <v>2026</v>
      </c>
      <c r="D438" t="s">
        <v>23</v>
      </c>
      <c r="E438" t="s">
        <v>15</v>
      </c>
      <c r="F438" t="s">
        <v>24</v>
      </c>
      <c r="G438" t="s">
        <v>17</v>
      </c>
      <c r="H438">
        <v>3</v>
      </c>
      <c r="I438">
        <v>104286</v>
      </c>
      <c r="J438">
        <v>55955.760913438797</v>
      </c>
      <c r="K438" t="str">
        <f>IF(AND(data_tab[[#This Row],[Revenue]]="",data_tab[[#This Row],[Cost]]=""),"Remove",IF(OR(data_tab[[#This Row],[Revenue]]="",data_tab[[#This Row],[Cost]]=""),"Flag","Valid"))</f>
        <v>Valid</v>
      </c>
      <c r="L438" t="str">
        <f>IF((COUNTIFS(data_tab[Revenue],data_tab[[#This Row],[Revenue]],data_tab[Cost],data_tab[[#This Row],[Cost]]))&gt;1,"Duplicate","Unique")</f>
        <v>Unique</v>
      </c>
      <c r="M438">
        <f>data_tab[[#This Row],[Revenue]]-data_tab[[#This Row],[Cost]]</f>
        <v>48330.239086561203</v>
      </c>
      <c r="N438" t="str">
        <f>IF(data_tab[[#This Row],[Revenue]]&lt;0,"Return","Sale")</f>
        <v>Sale</v>
      </c>
    </row>
    <row r="439" spans="1:14" hidden="1">
      <c r="A439" s="1">
        <v>46301</v>
      </c>
      <c r="B439">
        <f>MONTH(data_tab[[#This Row],[Order Date]])</f>
        <v>10</v>
      </c>
      <c r="C439">
        <f>YEAR(data_tab[[#This Row],[Order Date]])</f>
        <v>2026</v>
      </c>
      <c r="D439" t="s">
        <v>35</v>
      </c>
      <c r="E439" t="s">
        <v>32</v>
      </c>
      <c r="F439" t="s">
        <v>21</v>
      </c>
      <c r="G439" t="s">
        <v>41</v>
      </c>
      <c r="H439">
        <v>9</v>
      </c>
      <c r="I439">
        <v>81342</v>
      </c>
      <c r="J439">
        <v>44765.0228245619</v>
      </c>
      <c r="K439" t="str">
        <f>IF(AND(data_tab[[#This Row],[Revenue]]="",data_tab[[#This Row],[Cost]]=""),"Remove",IF(OR(data_tab[[#This Row],[Revenue]]="",data_tab[[#This Row],[Cost]]=""),"Flag","Valid"))</f>
        <v>Valid</v>
      </c>
      <c r="L439" t="str">
        <f>IF((COUNTIFS(data_tab[Revenue],data_tab[[#This Row],[Revenue]],data_tab[Cost],data_tab[[#This Row],[Cost]]))&gt;1,"Duplicate","Unique")</f>
        <v>Unique</v>
      </c>
      <c r="M439">
        <f>data_tab[[#This Row],[Revenue]]-data_tab[[#This Row],[Cost]]</f>
        <v>36576.9771754381</v>
      </c>
      <c r="N439" t="str">
        <f>IF(data_tab[[#This Row],[Revenue]]&lt;0,"Return","Sale")</f>
        <v>Sale</v>
      </c>
    </row>
    <row r="440" spans="1:14" hidden="1">
      <c r="A440" s="1">
        <v>46111</v>
      </c>
      <c r="B440">
        <f>MONTH(data_tab[[#This Row],[Order Date]])</f>
        <v>3</v>
      </c>
      <c r="C440">
        <f>YEAR(data_tab[[#This Row],[Order Date]])</f>
        <v>2026</v>
      </c>
      <c r="D440" t="s">
        <v>31</v>
      </c>
      <c r="E440" t="s">
        <v>32</v>
      </c>
      <c r="F440" t="s">
        <v>24</v>
      </c>
      <c r="G440" t="s">
        <v>41</v>
      </c>
      <c r="H440">
        <v>7</v>
      </c>
      <c r="I440">
        <v>178304</v>
      </c>
      <c r="K440" t="str">
        <f>IF(AND(data_tab[[#This Row],[Revenue]]="",data_tab[[#This Row],[Cost]]=""),"Remove",IF(OR(data_tab[[#This Row],[Revenue]]="",data_tab[[#This Row],[Cost]]=""),"Flag","Valid"))</f>
        <v>Flag</v>
      </c>
      <c r="L440" t="str">
        <f>IF((COUNTIFS(data_tab[Revenue],data_tab[[#This Row],[Revenue]],data_tab[Cost],data_tab[[#This Row],[Cost]]))&gt;1,"Duplicate","Unique")</f>
        <v>Unique</v>
      </c>
      <c r="M440">
        <f>data_tab[[#This Row],[Revenue]]-data_tab[[#This Row],[Cost]]</f>
        <v>178304</v>
      </c>
      <c r="N440" t="str">
        <f>IF(data_tab[[#This Row],[Revenue]]&lt;0,"Return","Sale")</f>
        <v>Sale</v>
      </c>
    </row>
    <row r="441" spans="1:14">
      <c r="A441" s="1">
        <v>46166</v>
      </c>
      <c r="B441">
        <f>MONTH(data_tab[[#This Row],[Order Date]])</f>
        <v>5</v>
      </c>
      <c r="C441">
        <f>YEAR(data_tab[[#This Row],[Order Date]])</f>
        <v>2026</v>
      </c>
      <c r="D441" t="s">
        <v>31</v>
      </c>
      <c r="E441" t="s">
        <v>32</v>
      </c>
      <c r="F441" t="s">
        <v>21</v>
      </c>
      <c r="G441" t="s">
        <v>26</v>
      </c>
      <c r="H441">
        <v>6</v>
      </c>
      <c r="I441">
        <v>139272</v>
      </c>
      <c r="J441">
        <v>110437.259385044</v>
      </c>
      <c r="K441" t="str">
        <f>IF(AND(data_tab[[#This Row],[Revenue]]="",data_tab[[#This Row],[Cost]]=""),"Remove",IF(OR(data_tab[[#This Row],[Revenue]]="",data_tab[[#This Row],[Cost]]=""),"Flag","Valid"))</f>
        <v>Valid</v>
      </c>
      <c r="L441" t="str">
        <f>IF((COUNTIFS(data_tab[Revenue],data_tab[[#This Row],[Revenue]],data_tab[Cost],data_tab[[#This Row],[Cost]]))&gt;1,"Duplicate","Unique")</f>
        <v>Duplicate</v>
      </c>
      <c r="M441">
        <f>data_tab[[#This Row],[Revenue]]-data_tab[[#This Row],[Cost]]</f>
        <v>28834.740614955997</v>
      </c>
      <c r="N441" t="str">
        <f>IF(data_tab[[#This Row],[Revenue]]&lt;0,"Return","Sale")</f>
        <v>Sale</v>
      </c>
    </row>
    <row r="442" spans="1:14">
      <c r="A442" s="1">
        <v>46164</v>
      </c>
      <c r="B442">
        <f>MONTH(data_tab[[#This Row],[Order Date]])</f>
        <v>5</v>
      </c>
      <c r="C442">
        <f>YEAR(data_tab[[#This Row],[Order Date]])</f>
        <v>2026</v>
      </c>
      <c r="D442" t="s">
        <v>40</v>
      </c>
      <c r="E442" t="s">
        <v>15</v>
      </c>
      <c r="F442" t="s">
        <v>21</v>
      </c>
      <c r="G442" t="s">
        <v>33</v>
      </c>
      <c r="H442">
        <v>5</v>
      </c>
      <c r="I442">
        <v>96290</v>
      </c>
      <c r="J442">
        <v>69005.494852510907</v>
      </c>
      <c r="K442" t="str">
        <f>IF(AND(data_tab[[#This Row],[Revenue]]="",data_tab[[#This Row],[Cost]]=""),"Remove",IF(OR(data_tab[[#This Row],[Revenue]]="",data_tab[[#This Row],[Cost]]=""),"Flag","Valid"))</f>
        <v>Valid</v>
      </c>
      <c r="L442" t="str">
        <f>IF((COUNTIFS(data_tab[Revenue],data_tab[[#This Row],[Revenue]],data_tab[Cost],data_tab[[#This Row],[Cost]]))&gt;1,"Duplicate","Unique")</f>
        <v>Unique</v>
      </c>
      <c r="M442">
        <f>data_tab[[#This Row],[Revenue]]-data_tab[[#This Row],[Cost]]</f>
        <v>27284.505147489093</v>
      </c>
      <c r="N442" t="str">
        <f>IF(data_tab[[#This Row],[Revenue]]&lt;0,"Return","Sale")</f>
        <v>Sale</v>
      </c>
    </row>
    <row r="443" spans="1:14" hidden="1">
      <c r="A443" s="1">
        <v>46070</v>
      </c>
      <c r="B443">
        <f>MONTH(data_tab[[#This Row],[Order Date]])</f>
        <v>2</v>
      </c>
      <c r="C443">
        <f>YEAR(data_tab[[#This Row],[Order Date]])</f>
        <v>2026</v>
      </c>
      <c r="D443" t="s">
        <v>35</v>
      </c>
      <c r="E443" t="s">
        <v>32</v>
      </c>
      <c r="F443" t="s">
        <v>21</v>
      </c>
      <c r="G443" t="s">
        <v>37</v>
      </c>
      <c r="H443">
        <v>2</v>
      </c>
      <c r="I443">
        <v>90282</v>
      </c>
      <c r="J443">
        <v>80067.969656407993</v>
      </c>
      <c r="K443" t="str">
        <f>IF(AND(data_tab[[#This Row],[Revenue]]="",data_tab[[#This Row],[Cost]]=""),"Remove",IF(OR(data_tab[[#This Row],[Revenue]]="",data_tab[[#This Row],[Cost]]=""),"Flag","Valid"))</f>
        <v>Valid</v>
      </c>
      <c r="L443" t="str">
        <f>IF((COUNTIFS(data_tab[Revenue],data_tab[[#This Row],[Revenue]],data_tab[Cost],data_tab[[#This Row],[Cost]]))&gt;1,"Duplicate","Unique")</f>
        <v>Unique</v>
      </c>
      <c r="M443">
        <f>data_tab[[#This Row],[Revenue]]-data_tab[[#This Row],[Cost]]</f>
        <v>10214.030343592007</v>
      </c>
      <c r="N443" t="str">
        <f>IF(data_tab[[#This Row],[Revenue]]&lt;0,"Return","Sale")</f>
        <v>Sale</v>
      </c>
    </row>
    <row r="444" spans="1:14">
      <c r="A444" s="1">
        <v>46164</v>
      </c>
      <c r="B444">
        <f>MONTH(data_tab[[#This Row],[Order Date]])</f>
        <v>5</v>
      </c>
      <c r="C444">
        <f>YEAR(data_tab[[#This Row],[Order Date]])</f>
        <v>2026</v>
      </c>
      <c r="D444" t="s">
        <v>35</v>
      </c>
      <c r="E444" t="s">
        <v>32</v>
      </c>
      <c r="F444" t="s">
        <v>16</v>
      </c>
      <c r="G444" t="s">
        <v>33</v>
      </c>
      <c r="H444">
        <v>6</v>
      </c>
      <c r="I444">
        <v>55434</v>
      </c>
      <c r="K444" t="str">
        <f>IF(AND(data_tab[[#This Row],[Revenue]]="",data_tab[[#This Row],[Cost]]=""),"Remove",IF(OR(data_tab[[#This Row],[Revenue]]="",data_tab[[#This Row],[Cost]]=""),"Flag","Valid"))</f>
        <v>Flag</v>
      </c>
      <c r="L444" t="str">
        <f>IF((COUNTIFS(data_tab[Revenue],data_tab[[#This Row],[Revenue]],data_tab[Cost],data_tab[[#This Row],[Cost]]))&gt;1,"Duplicate","Unique")</f>
        <v>Unique</v>
      </c>
      <c r="M444">
        <f>data_tab[[#This Row],[Revenue]]-data_tab[[#This Row],[Cost]]</f>
        <v>55434</v>
      </c>
      <c r="N444" t="str">
        <f>IF(data_tab[[#This Row],[Revenue]]&lt;0,"Return","Sale")</f>
        <v>Sale</v>
      </c>
    </row>
    <row r="445" spans="1:14" hidden="1">
      <c r="A445" s="1">
        <v>46068</v>
      </c>
      <c r="B445">
        <f>MONTH(data_tab[[#This Row],[Order Date]])</f>
        <v>2</v>
      </c>
      <c r="C445">
        <f>YEAR(data_tab[[#This Row],[Order Date]])</f>
        <v>2026</v>
      </c>
      <c r="D445" t="s">
        <v>29</v>
      </c>
      <c r="E445" t="s">
        <v>15</v>
      </c>
      <c r="F445" t="s">
        <v>21</v>
      </c>
      <c r="G445" t="s">
        <v>39</v>
      </c>
      <c r="H445">
        <v>1</v>
      </c>
      <c r="I445">
        <v>39421</v>
      </c>
      <c r="J445">
        <v>29829.897003703602</v>
      </c>
      <c r="K445" t="str">
        <f>IF(AND(data_tab[[#This Row],[Revenue]]="",data_tab[[#This Row],[Cost]]=""),"Remove",IF(OR(data_tab[[#This Row],[Revenue]]="",data_tab[[#This Row],[Cost]]=""),"Flag","Valid"))</f>
        <v>Valid</v>
      </c>
      <c r="L445" t="str">
        <f>IF((COUNTIFS(data_tab[Revenue],data_tab[[#This Row],[Revenue]],data_tab[Cost],data_tab[[#This Row],[Cost]]))&gt;1,"Duplicate","Unique")</f>
        <v>Unique</v>
      </c>
      <c r="M445">
        <f>data_tab[[#This Row],[Revenue]]-data_tab[[#This Row],[Cost]]</f>
        <v>9591.1029962963985</v>
      </c>
      <c r="N445" t="str">
        <f>IF(data_tab[[#This Row],[Revenue]]&lt;0,"Return","Sale")</f>
        <v>Sale</v>
      </c>
    </row>
    <row r="446" spans="1:14" hidden="1">
      <c r="A446" s="1">
        <v>46174</v>
      </c>
      <c r="B446">
        <f>MONTH(data_tab[[#This Row],[Order Date]])</f>
        <v>6</v>
      </c>
      <c r="C446">
        <f>YEAR(data_tab[[#This Row],[Order Date]])</f>
        <v>2026</v>
      </c>
      <c r="D446" t="s">
        <v>40</v>
      </c>
      <c r="E446" t="s">
        <v>15</v>
      </c>
      <c r="F446" t="s">
        <v>24</v>
      </c>
      <c r="G446" t="s">
        <v>39</v>
      </c>
      <c r="H446">
        <v>4</v>
      </c>
      <c r="I446">
        <v>179900</v>
      </c>
      <c r="J446">
        <v>125311.539882778</v>
      </c>
      <c r="K446" t="str">
        <f>IF(AND(data_tab[[#This Row],[Revenue]]="",data_tab[[#This Row],[Cost]]=""),"Remove",IF(OR(data_tab[[#This Row],[Revenue]]="",data_tab[[#This Row],[Cost]]=""),"Flag","Valid"))</f>
        <v>Valid</v>
      </c>
      <c r="L446" t="str">
        <f>IF((COUNTIFS(data_tab[Revenue],data_tab[[#This Row],[Revenue]],data_tab[Cost],data_tab[[#This Row],[Cost]]))&gt;1,"Duplicate","Unique")</f>
        <v>Unique</v>
      </c>
      <c r="M446">
        <f>data_tab[[#This Row],[Revenue]]-data_tab[[#This Row],[Cost]]</f>
        <v>54588.460117221999</v>
      </c>
      <c r="N446" t="str">
        <f>IF(data_tab[[#This Row],[Revenue]]&lt;0,"Return","Sale")</f>
        <v>Sale</v>
      </c>
    </row>
    <row r="447" spans="1:14" hidden="1">
      <c r="A447" s="1">
        <v>46038</v>
      </c>
      <c r="B447">
        <f>MONTH(data_tab[[#This Row],[Order Date]])</f>
        <v>1</v>
      </c>
      <c r="C447">
        <f>YEAR(data_tab[[#This Row],[Order Date]])</f>
        <v>2026</v>
      </c>
      <c r="D447" t="s">
        <v>29</v>
      </c>
      <c r="E447" t="s">
        <v>15</v>
      </c>
      <c r="F447" t="s">
        <v>16</v>
      </c>
      <c r="G447" t="s">
        <v>41</v>
      </c>
      <c r="H447">
        <v>1</v>
      </c>
      <c r="J447">
        <v>25727.029274931199</v>
      </c>
      <c r="K447" t="str">
        <f>IF(AND(data_tab[[#This Row],[Revenue]]="",data_tab[[#This Row],[Cost]]=""),"Remove",IF(OR(data_tab[[#This Row],[Revenue]]="",data_tab[[#This Row],[Cost]]=""),"Flag","Valid"))</f>
        <v>Flag</v>
      </c>
      <c r="L447" t="str">
        <f>IF((COUNTIFS(data_tab[Revenue],data_tab[[#This Row],[Revenue]],data_tab[Cost],data_tab[[#This Row],[Cost]]))&gt;1,"Duplicate","Unique")</f>
        <v>Unique</v>
      </c>
      <c r="M447">
        <f>data_tab[[#This Row],[Revenue]]-data_tab[[#This Row],[Cost]]</f>
        <v>-25727.029274931199</v>
      </c>
      <c r="N447" t="str">
        <f>IF(data_tab[[#This Row],[Revenue]]&lt;0,"Return","Sale")</f>
        <v>Sale</v>
      </c>
    </row>
    <row r="448" spans="1:14" hidden="1">
      <c r="A448" s="1">
        <v>46078</v>
      </c>
      <c r="B448">
        <f>MONTH(data_tab[[#This Row],[Order Date]])</f>
        <v>2</v>
      </c>
      <c r="C448">
        <f>YEAR(data_tab[[#This Row],[Order Date]])</f>
        <v>2026</v>
      </c>
      <c r="D448" t="s">
        <v>14</v>
      </c>
      <c r="E448" t="s">
        <v>15</v>
      </c>
      <c r="F448" t="s">
        <v>21</v>
      </c>
      <c r="G448" t="s">
        <v>26</v>
      </c>
      <c r="H448">
        <v>7</v>
      </c>
      <c r="I448">
        <v>100912</v>
      </c>
      <c r="J448">
        <v>58251.227889523099</v>
      </c>
      <c r="K448" t="str">
        <f>IF(AND(data_tab[[#This Row],[Revenue]]="",data_tab[[#This Row],[Cost]]=""),"Remove",IF(OR(data_tab[[#This Row],[Revenue]]="",data_tab[[#This Row],[Cost]]=""),"Flag","Valid"))</f>
        <v>Valid</v>
      </c>
      <c r="L448" t="str">
        <f>IF((COUNTIFS(data_tab[Revenue],data_tab[[#This Row],[Revenue]],data_tab[Cost],data_tab[[#This Row],[Cost]]))&gt;1,"Duplicate","Unique")</f>
        <v>Unique</v>
      </c>
      <c r="M448">
        <f>data_tab[[#This Row],[Revenue]]-data_tab[[#This Row],[Cost]]</f>
        <v>42660.772110476901</v>
      </c>
      <c r="N448" t="str">
        <f>IF(data_tab[[#This Row],[Revenue]]&lt;0,"Return","Sale")</f>
        <v>Sale</v>
      </c>
    </row>
    <row r="449" spans="1:14">
      <c r="A449" s="1">
        <v>46165</v>
      </c>
      <c r="B449">
        <f>MONTH(data_tab[[#This Row],[Order Date]])</f>
        <v>5</v>
      </c>
      <c r="C449">
        <f>YEAR(data_tab[[#This Row],[Order Date]])</f>
        <v>2026</v>
      </c>
      <c r="D449" t="s">
        <v>20</v>
      </c>
      <c r="E449" t="s">
        <v>15</v>
      </c>
      <c r="F449" t="s">
        <v>16</v>
      </c>
      <c r="G449" t="s">
        <v>41</v>
      </c>
      <c r="H449">
        <v>8</v>
      </c>
      <c r="I449">
        <v>384336</v>
      </c>
      <c r="J449">
        <v>294438.63426569698</v>
      </c>
      <c r="K449" t="str">
        <f>IF(AND(data_tab[[#This Row],[Revenue]]="",data_tab[[#This Row],[Cost]]=""),"Remove",IF(OR(data_tab[[#This Row],[Revenue]]="",data_tab[[#This Row],[Cost]]=""),"Flag","Valid"))</f>
        <v>Valid</v>
      </c>
      <c r="L449" t="str">
        <f>IF((COUNTIFS(data_tab[Revenue],data_tab[[#This Row],[Revenue]],data_tab[Cost],data_tab[[#This Row],[Cost]]))&gt;1,"Duplicate","Unique")</f>
        <v>Unique</v>
      </c>
      <c r="M449">
        <f>data_tab[[#This Row],[Revenue]]-data_tab[[#This Row],[Cost]]</f>
        <v>89897.365734303021</v>
      </c>
      <c r="N449" t="str">
        <f>IF(data_tab[[#This Row],[Revenue]]&lt;0,"Return","Sale")</f>
        <v>Sale</v>
      </c>
    </row>
    <row r="450" spans="1:14" hidden="1">
      <c r="A450" s="1">
        <v>46125</v>
      </c>
      <c r="B450">
        <f>MONTH(data_tab[[#This Row],[Order Date]])</f>
        <v>4</v>
      </c>
      <c r="C450">
        <f>YEAR(data_tab[[#This Row],[Order Date]])</f>
        <v>2026</v>
      </c>
      <c r="D450" t="s">
        <v>40</v>
      </c>
      <c r="E450" t="s">
        <v>15</v>
      </c>
      <c r="F450" t="s">
        <v>36</v>
      </c>
      <c r="G450" t="s">
        <v>37</v>
      </c>
      <c r="H450">
        <v>6</v>
      </c>
      <c r="I450">
        <v>228300</v>
      </c>
      <c r="J450">
        <v>204690.40030324701</v>
      </c>
      <c r="K450" t="str">
        <f>IF(AND(data_tab[[#This Row],[Revenue]]="",data_tab[[#This Row],[Cost]]=""),"Remove",IF(OR(data_tab[[#This Row],[Revenue]]="",data_tab[[#This Row],[Cost]]=""),"Flag","Valid"))</f>
        <v>Valid</v>
      </c>
      <c r="L450" t="str">
        <f>IF((COUNTIFS(data_tab[Revenue],data_tab[[#This Row],[Revenue]],data_tab[Cost],data_tab[[#This Row],[Cost]]))&gt;1,"Duplicate","Unique")</f>
        <v>Unique</v>
      </c>
      <c r="M450">
        <f>data_tab[[#This Row],[Revenue]]-data_tab[[#This Row],[Cost]]</f>
        <v>23609.599696752994</v>
      </c>
      <c r="N450" t="str">
        <f>IF(data_tab[[#This Row],[Revenue]]&lt;0,"Return","Sale")</f>
        <v>Sale</v>
      </c>
    </row>
    <row r="451" spans="1:14" hidden="1">
      <c r="A451" s="1">
        <v>46133</v>
      </c>
      <c r="B451">
        <f>MONTH(data_tab[[#This Row],[Order Date]])</f>
        <v>4</v>
      </c>
      <c r="C451">
        <f>YEAR(data_tab[[#This Row],[Order Date]])</f>
        <v>2026</v>
      </c>
      <c r="D451" t="s">
        <v>31</v>
      </c>
      <c r="E451" t="s">
        <v>32</v>
      </c>
      <c r="F451" t="s">
        <v>21</v>
      </c>
      <c r="G451" t="s">
        <v>33</v>
      </c>
      <c r="H451">
        <v>9</v>
      </c>
      <c r="I451">
        <v>-167859</v>
      </c>
      <c r="J451">
        <v>108101.769737642</v>
      </c>
      <c r="K451" t="str">
        <f>IF(AND(data_tab[[#This Row],[Revenue]]="",data_tab[[#This Row],[Cost]]=""),"Remove",IF(OR(data_tab[[#This Row],[Revenue]]="",data_tab[[#This Row],[Cost]]=""),"Flag","Valid"))</f>
        <v>Valid</v>
      </c>
      <c r="L451" t="str">
        <f>IF((COUNTIFS(data_tab[Revenue],data_tab[[#This Row],[Revenue]],data_tab[Cost],data_tab[[#This Row],[Cost]]))&gt;1,"Duplicate","Unique")</f>
        <v>Unique</v>
      </c>
      <c r="M451">
        <f>data_tab[[#This Row],[Revenue]]-data_tab[[#This Row],[Cost]]</f>
        <v>-275960.76973764203</v>
      </c>
      <c r="N451" t="str">
        <f>IF(data_tab[[#This Row],[Revenue]]&lt;0,"Return","Sale")</f>
        <v>Return</v>
      </c>
    </row>
    <row r="452" spans="1:14" hidden="1">
      <c r="A452" s="1">
        <v>46031</v>
      </c>
      <c r="B452">
        <f>MONTH(data_tab[[#This Row],[Order Date]])</f>
        <v>1</v>
      </c>
      <c r="C452">
        <f>YEAR(data_tab[[#This Row],[Order Date]])</f>
        <v>2026</v>
      </c>
      <c r="D452" t="s">
        <v>40</v>
      </c>
      <c r="E452" t="s">
        <v>15</v>
      </c>
      <c r="F452" t="s">
        <v>21</v>
      </c>
      <c r="G452" t="s">
        <v>37</v>
      </c>
      <c r="H452">
        <v>1</v>
      </c>
      <c r="I452">
        <v>21682</v>
      </c>
      <c r="J452">
        <v>19378.455971887499</v>
      </c>
      <c r="K452" t="str">
        <f>IF(AND(data_tab[[#This Row],[Revenue]]="",data_tab[[#This Row],[Cost]]=""),"Remove",IF(OR(data_tab[[#This Row],[Revenue]]="",data_tab[[#This Row],[Cost]]=""),"Flag","Valid"))</f>
        <v>Valid</v>
      </c>
      <c r="L452" t="str">
        <f>IF((COUNTIFS(data_tab[Revenue],data_tab[[#This Row],[Revenue]],data_tab[Cost],data_tab[[#This Row],[Cost]]))&gt;1,"Duplicate","Unique")</f>
        <v>Unique</v>
      </c>
      <c r="M452">
        <f>data_tab[[#This Row],[Revenue]]-data_tab[[#This Row],[Cost]]</f>
        <v>2303.5440281125011</v>
      </c>
      <c r="N452" t="str">
        <f>IF(data_tab[[#This Row],[Revenue]]&lt;0,"Return","Sale")</f>
        <v>Sale</v>
      </c>
    </row>
    <row r="453" spans="1:14" hidden="1">
      <c r="A453" s="1">
        <v>46199</v>
      </c>
      <c r="B453">
        <f>MONTH(data_tab[[#This Row],[Order Date]])</f>
        <v>6</v>
      </c>
      <c r="C453">
        <f>YEAR(data_tab[[#This Row],[Order Date]])</f>
        <v>2026</v>
      </c>
      <c r="D453" t="s">
        <v>40</v>
      </c>
      <c r="E453" t="s">
        <v>15</v>
      </c>
      <c r="F453" t="s">
        <v>21</v>
      </c>
      <c r="G453" t="s">
        <v>39</v>
      </c>
      <c r="H453">
        <v>1</v>
      </c>
      <c r="I453">
        <v>32170</v>
      </c>
      <c r="J453">
        <v>20661.5782332776</v>
      </c>
      <c r="K453" t="str">
        <f>IF(AND(data_tab[[#This Row],[Revenue]]="",data_tab[[#This Row],[Cost]]=""),"Remove",IF(OR(data_tab[[#This Row],[Revenue]]="",data_tab[[#This Row],[Cost]]=""),"Flag","Valid"))</f>
        <v>Valid</v>
      </c>
      <c r="L453" t="str">
        <f>IF((COUNTIFS(data_tab[Revenue],data_tab[[#This Row],[Revenue]],data_tab[Cost],data_tab[[#This Row],[Cost]]))&gt;1,"Duplicate","Unique")</f>
        <v>Unique</v>
      </c>
      <c r="M453">
        <f>data_tab[[#This Row],[Revenue]]-data_tab[[#This Row],[Cost]]</f>
        <v>11508.4217667224</v>
      </c>
      <c r="N453" t="str">
        <f>IF(data_tab[[#This Row],[Revenue]]&lt;0,"Return","Sale")</f>
        <v>Sale</v>
      </c>
    </row>
    <row r="454" spans="1:14" hidden="1">
      <c r="A454" s="1">
        <v>46082</v>
      </c>
      <c r="B454">
        <f>MONTH(data_tab[[#This Row],[Order Date]])</f>
        <v>3</v>
      </c>
      <c r="C454">
        <f>YEAR(data_tab[[#This Row],[Order Date]])</f>
        <v>2026</v>
      </c>
      <c r="D454" t="s">
        <v>40</v>
      </c>
      <c r="E454" t="s">
        <v>15</v>
      </c>
      <c r="F454" t="s">
        <v>36</v>
      </c>
      <c r="G454" t="s">
        <v>26</v>
      </c>
      <c r="H454">
        <v>4</v>
      </c>
      <c r="I454">
        <v>28236</v>
      </c>
      <c r="J454">
        <v>22290.407901263199</v>
      </c>
      <c r="K454" t="str">
        <f>IF(AND(data_tab[[#This Row],[Revenue]]="",data_tab[[#This Row],[Cost]]=""),"Remove",IF(OR(data_tab[[#This Row],[Revenue]]="",data_tab[[#This Row],[Cost]]=""),"Flag","Valid"))</f>
        <v>Valid</v>
      </c>
      <c r="L454" t="str">
        <f>IF((COUNTIFS(data_tab[Revenue],data_tab[[#This Row],[Revenue]],data_tab[Cost],data_tab[[#This Row],[Cost]]))&gt;1,"Duplicate","Unique")</f>
        <v>Unique</v>
      </c>
      <c r="M454">
        <f>data_tab[[#This Row],[Revenue]]-data_tab[[#This Row],[Cost]]</f>
        <v>5945.5920987368008</v>
      </c>
      <c r="N454" t="str">
        <f>IF(data_tab[[#This Row],[Revenue]]&lt;0,"Return","Sale")</f>
        <v>Sale</v>
      </c>
    </row>
    <row r="455" spans="1:14" hidden="1">
      <c r="A455" s="1">
        <v>46199</v>
      </c>
      <c r="B455">
        <f>MONTH(data_tab[[#This Row],[Order Date]])</f>
        <v>6</v>
      </c>
      <c r="C455">
        <f>YEAR(data_tab[[#This Row],[Order Date]])</f>
        <v>2026</v>
      </c>
      <c r="D455" t="s">
        <v>20</v>
      </c>
      <c r="E455" t="s">
        <v>15</v>
      </c>
      <c r="F455" t="s">
        <v>16</v>
      </c>
      <c r="G455" t="s">
        <v>39</v>
      </c>
      <c r="H455">
        <v>10</v>
      </c>
      <c r="I455">
        <v>270050</v>
      </c>
      <c r="J455">
        <v>143502.12830758601</v>
      </c>
      <c r="K455" t="str">
        <f>IF(AND(data_tab[[#This Row],[Revenue]]="",data_tab[[#This Row],[Cost]]=""),"Remove",IF(OR(data_tab[[#This Row],[Revenue]]="",data_tab[[#This Row],[Cost]]=""),"Flag","Valid"))</f>
        <v>Valid</v>
      </c>
      <c r="L455" t="str">
        <f>IF((COUNTIFS(data_tab[Revenue],data_tab[[#This Row],[Revenue]],data_tab[Cost],data_tab[[#This Row],[Cost]]))&gt;1,"Duplicate","Unique")</f>
        <v>Unique</v>
      </c>
      <c r="M455">
        <f>data_tab[[#This Row],[Revenue]]-data_tab[[#This Row],[Cost]]</f>
        <v>126547.87169241399</v>
      </c>
      <c r="N455" t="str">
        <f>IF(data_tab[[#This Row],[Revenue]]&lt;0,"Return","Sale")</f>
        <v>Sale</v>
      </c>
    </row>
    <row r="456" spans="1:14" hidden="1">
      <c r="A456" s="1">
        <v>46134</v>
      </c>
      <c r="B456">
        <f>MONTH(data_tab[[#This Row],[Order Date]])</f>
        <v>4</v>
      </c>
      <c r="C456">
        <f>YEAR(data_tab[[#This Row],[Order Date]])</f>
        <v>2026</v>
      </c>
      <c r="D456" t="s">
        <v>23</v>
      </c>
      <c r="E456" t="s">
        <v>15</v>
      </c>
      <c r="F456" t="s">
        <v>21</v>
      </c>
      <c r="G456" t="s">
        <v>41</v>
      </c>
      <c r="H456">
        <v>10</v>
      </c>
      <c r="I456">
        <v>27490</v>
      </c>
      <c r="J456">
        <v>20715.222584936699</v>
      </c>
      <c r="K456" t="str">
        <f>IF(AND(data_tab[[#This Row],[Revenue]]="",data_tab[[#This Row],[Cost]]=""),"Remove",IF(OR(data_tab[[#This Row],[Revenue]]="",data_tab[[#This Row],[Cost]]=""),"Flag","Valid"))</f>
        <v>Valid</v>
      </c>
      <c r="L456" t="str">
        <f>IF((COUNTIFS(data_tab[Revenue],data_tab[[#This Row],[Revenue]],data_tab[Cost],data_tab[[#This Row],[Cost]]))&gt;1,"Duplicate","Unique")</f>
        <v>Unique</v>
      </c>
      <c r="M456">
        <f>data_tab[[#This Row],[Revenue]]-data_tab[[#This Row],[Cost]]</f>
        <v>6774.7774150633013</v>
      </c>
      <c r="N456" t="str">
        <f>IF(data_tab[[#This Row],[Revenue]]&lt;0,"Return","Sale")</f>
        <v>Sale</v>
      </c>
    </row>
    <row r="457" spans="1:14" hidden="1">
      <c r="A457" s="1">
        <v>46104</v>
      </c>
      <c r="B457">
        <f>MONTH(data_tab[[#This Row],[Order Date]])</f>
        <v>3</v>
      </c>
      <c r="C457">
        <f>YEAR(data_tab[[#This Row],[Order Date]])</f>
        <v>2026</v>
      </c>
      <c r="D457" t="s">
        <v>40</v>
      </c>
      <c r="E457" t="s">
        <v>15</v>
      </c>
      <c r="F457" t="s">
        <v>21</v>
      </c>
      <c r="G457" t="s">
        <v>17</v>
      </c>
      <c r="H457">
        <v>1</v>
      </c>
      <c r="I457">
        <v>46147</v>
      </c>
      <c r="J457">
        <v>36577.562573720497</v>
      </c>
      <c r="K457" t="str">
        <f>IF(AND(data_tab[[#This Row],[Revenue]]="",data_tab[[#This Row],[Cost]]=""),"Remove",IF(OR(data_tab[[#This Row],[Revenue]]="",data_tab[[#This Row],[Cost]]=""),"Flag","Valid"))</f>
        <v>Valid</v>
      </c>
      <c r="L457" t="str">
        <f>IF((COUNTIFS(data_tab[Revenue],data_tab[[#This Row],[Revenue]],data_tab[Cost],data_tab[[#This Row],[Cost]]))&gt;1,"Duplicate","Unique")</f>
        <v>Unique</v>
      </c>
      <c r="M457">
        <f>data_tab[[#This Row],[Revenue]]-data_tab[[#This Row],[Cost]]</f>
        <v>9569.4374262795027</v>
      </c>
      <c r="N457" t="str">
        <f>IF(data_tab[[#This Row],[Revenue]]&lt;0,"Return","Sale")</f>
        <v>Sale</v>
      </c>
    </row>
    <row r="458" spans="1:14" hidden="1">
      <c r="A458" s="1">
        <v>46300</v>
      </c>
      <c r="B458">
        <f>MONTH(data_tab[[#This Row],[Order Date]])</f>
        <v>10</v>
      </c>
      <c r="C458">
        <f>YEAR(data_tab[[#This Row],[Order Date]])</f>
        <v>2026</v>
      </c>
      <c r="D458" t="s">
        <v>29</v>
      </c>
      <c r="E458" t="s">
        <v>15</v>
      </c>
      <c r="F458" t="s">
        <v>16</v>
      </c>
      <c r="G458" t="s">
        <v>33</v>
      </c>
      <c r="H458">
        <v>3</v>
      </c>
      <c r="I458">
        <v>31989</v>
      </c>
      <c r="J458">
        <v>20295.973538939699</v>
      </c>
      <c r="K458" t="str">
        <f>IF(AND(data_tab[[#This Row],[Revenue]]="",data_tab[[#This Row],[Cost]]=""),"Remove",IF(OR(data_tab[[#This Row],[Revenue]]="",data_tab[[#This Row],[Cost]]=""),"Flag","Valid"))</f>
        <v>Valid</v>
      </c>
      <c r="L458" t="str">
        <f>IF((COUNTIFS(data_tab[Revenue],data_tab[[#This Row],[Revenue]],data_tab[Cost],data_tab[[#This Row],[Cost]]))&gt;1,"Duplicate","Unique")</f>
        <v>Unique</v>
      </c>
      <c r="M458">
        <f>data_tab[[#This Row],[Revenue]]-data_tab[[#This Row],[Cost]]</f>
        <v>11693.026461060301</v>
      </c>
      <c r="N458" t="str">
        <f>IF(data_tab[[#This Row],[Revenue]]&lt;0,"Return","Sale")</f>
        <v>Sale</v>
      </c>
    </row>
    <row r="459" spans="1:14" hidden="1">
      <c r="A459" s="1">
        <v>46268</v>
      </c>
      <c r="B459">
        <f>MONTH(data_tab[[#This Row],[Order Date]])</f>
        <v>9</v>
      </c>
      <c r="C459">
        <f>YEAR(data_tab[[#This Row],[Order Date]])</f>
        <v>2026</v>
      </c>
      <c r="D459" t="s">
        <v>40</v>
      </c>
      <c r="E459" t="s">
        <v>15</v>
      </c>
      <c r="F459" t="s">
        <v>36</v>
      </c>
      <c r="G459" t="s">
        <v>41</v>
      </c>
      <c r="H459">
        <v>3</v>
      </c>
      <c r="I459">
        <v>32514</v>
      </c>
      <c r="J459">
        <v>22511.6856916992</v>
      </c>
      <c r="K459" t="str">
        <f>IF(AND(data_tab[[#This Row],[Revenue]]="",data_tab[[#This Row],[Cost]]=""),"Remove",IF(OR(data_tab[[#This Row],[Revenue]]="",data_tab[[#This Row],[Cost]]=""),"Flag","Valid"))</f>
        <v>Valid</v>
      </c>
      <c r="L459" t="str">
        <f>IF((COUNTIFS(data_tab[Revenue],data_tab[[#This Row],[Revenue]],data_tab[Cost],data_tab[[#This Row],[Cost]]))&gt;1,"Duplicate","Unique")</f>
        <v>Unique</v>
      </c>
      <c r="M459">
        <f>data_tab[[#This Row],[Revenue]]-data_tab[[#This Row],[Cost]]</f>
        <v>10002.3143083008</v>
      </c>
      <c r="N459" t="str">
        <f>IF(data_tab[[#This Row],[Revenue]]&lt;0,"Return","Sale")</f>
        <v>Sale</v>
      </c>
    </row>
    <row r="460" spans="1:14">
      <c r="A460" s="1">
        <v>46166</v>
      </c>
      <c r="B460">
        <f>MONTH(data_tab[[#This Row],[Order Date]])</f>
        <v>5</v>
      </c>
      <c r="C460">
        <f>YEAR(data_tab[[#This Row],[Order Date]])</f>
        <v>2026</v>
      </c>
      <c r="D460" t="s">
        <v>31</v>
      </c>
      <c r="E460" t="s">
        <v>32</v>
      </c>
      <c r="F460" t="s">
        <v>21</v>
      </c>
      <c r="G460" t="s">
        <v>39</v>
      </c>
      <c r="H460">
        <v>5</v>
      </c>
      <c r="I460">
        <v>150920</v>
      </c>
      <c r="J460">
        <v>94983.713953318103</v>
      </c>
      <c r="K460" t="str">
        <f>IF(AND(data_tab[[#This Row],[Revenue]]="",data_tab[[#This Row],[Cost]]=""),"Remove",IF(OR(data_tab[[#This Row],[Revenue]]="",data_tab[[#This Row],[Cost]]=""),"Flag","Valid"))</f>
        <v>Valid</v>
      </c>
      <c r="L460" t="str">
        <f>IF((COUNTIFS(data_tab[Revenue],data_tab[[#This Row],[Revenue]],data_tab[Cost],data_tab[[#This Row],[Cost]]))&gt;1,"Duplicate","Unique")</f>
        <v>Unique</v>
      </c>
      <c r="M460">
        <f>data_tab[[#This Row],[Revenue]]-data_tab[[#This Row],[Cost]]</f>
        <v>55936.286046681897</v>
      </c>
      <c r="N460" t="str">
        <f>IF(data_tab[[#This Row],[Revenue]]&lt;0,"Return","Sale")</f>
        <v>Sale</v>
      </c>
    </row>
    <row r="461" spans="1:14" hidden="1">
      <c r="A461" s="1">
        <v>46131</v>
      </c>
      <c r="B461">
        <f>MONTH(data_tab[[#This Row],[Order Date]])</f>
        <v>4</v>
      </c>
      <c r="C461">
        <f>YEAR(data_tab[[#This Row],[Order Date]])</f>
        <v>2026</v>
      </c>
      <c r="D461" t="s">
        <v>35</v>
      </c>
      <c r="E461" t="s">
        <v>32</v>
      </c>
      <c r="F461" t="s">
        <v>24</v>
      </c>
      <c r="G461" t="s">
        <v>37</v>
      </c>
      <c r="H461">
        <v>3</v>
      </c>
      <c r="I461">
        <v>74757</v>
      </c>
      <c r="J461">
        <v>55805.233152974099</v>
      </c>
      <c r="K461" t="str">
        <f>IF(AND(data_tab[[#This Row],[Revenue]]="",data_tab[[#This Row],[Cost]]=""),"Remove",IF(OR(data_tab[[#This Row],[Revenue]]="",data_tab[[#This Row],[Cost]]=""),"Flag","Valid"))</f>
        <v>Valid</v>
      </c>
      <c r="L461" t="str">
        <f>IF((COUNTIFS(data_tab[Revenue],data_tab[[#This Row],[Revenue]],data_tab[Cost],data_tab[[#This Row],[Cost]]))&gt;1,"Duplicate","Unique")</f>
        <v>Unique</v>
      </c>
      <c r="M461">
        <f>data_tab[[#This Row],[Revenue]]-data_tab[[#This Row],[Cost]]</f>
        <v>18951.766847025901</v>
      </c>
      <c r="N461" t="str">
        <f>IF(data_tab[[#This Row],[Revenue]]&lt;0,"Return","Sale")</f>
        <v>Sale</v>
      </c>
    </row>
    <row r="462" spans="1:14" hidden="1">
      <c r="A462" s="1">
        <v>46034</v>
      </c>
      <c r="B462">
        <f>MONTH(data_tab[[#This Row],[Order Date]])</f>
        <v>1</v>
      </c>
      <c r="C462">
        <f>YEAR(data_tab[[#This Row],[Order Date]])</f>
        <v>2026</v>
      </c>
      <c r="D462" t="s">
        <v>14</v>
      </c>
      <c r="E462" t="s">
        <v>15</v>
      </c>
      <c r="F462" t="s">
        <v>16</v>
      </c>
      <c r="G462" t="s">
        <v>17</v>
      </c>
      <c r="H462">
        <v>2</v>
      </c>
      <c r="I462">
        <v>18728</v>
      </c>
      <c r="J462">
        <v>14904.3539069574</v>
      </c>
      <c r="K462" t="str">
        <f>IF(AND(data_tab[[#This Row],[Revenue]]="",data_tab[[#This Row],[Cost]]=""),"Remove",IF(OR(data_tab[[#This Row],[Revenue]]="",data_tab[[#This Row],[Cost]]=""),"Flag","Valid"))</f>
        <v>Valid</v>
      </c>
      <c r="L462" t="str">
        <f>IF((COUNTIFS(data_tab[Revenue],data_tab[[#This Row],[Revenue]],data_tab[Cost],data_tab[[#This Row],[Cost]]))&gt;1,"Duplicate","Unique")</f>
        <v>Unique</v>
      </c>
      <c r="M462">
        <f>data_tab[[#This Row],[Revenue]]-data_tab[[#This Row],[Cost]]</f>
        <v>3823.6460930426001</v>
      </c>
      <c r="N462" t="str">
        <f>IF(data_tab[[#This Row],[Revenue]]&lt;0,"Return","Sale")</f>
        <v>Sale</v>
      </c>
    </row>
    <row r="463" spans="1:14" hidden="1">
      <c r="A463" s="1">
        <v>46096</v>
      </c>
      <c r="B463">
        <f>MONTH(data_tab[[#This Row],[Order Date]])</f>
        <v>3</v>
      </c>
      <c r="C463">
        <f>YEAR(data_tab[[#This Row],[Order Date]])</f>
        <v>2026</v>
      </c>
      <c r="D463" t="s">
        <v>14</v>
      </c>
      <c r="E463" t="s">
        <v>15</v>
      </c>
      <c r="F463" t="s">
        <v>24</v>
      </c>
      <c r="G463" t="s">
        <v>37</v>
      </c>
      <c r="H463">
        <v>8</v>
      </c>
      <c r="I463">
        <v>263032</v>
      </c>
      <c r="J463">
        <v>133909.39288977999</v>
      </c>
      <c r="K463" t="str">
        <f>IF(AND(data_tab[[#This Row],[Revenue]]="",data_tab[[#This Row],[Cost]]=""),"Remove",IF(OR(data_tab[[#This Row],[Revenue]]="",data_tab[[#This Row],[Cost]]=""),"Flag","Valid"))</f>
        <v>Valid</v>
      </c>
      <c r="L463" t="str">
        <f>IF((COUNTIFS(data_tab[Revenue],data_tab[[#This Row],[Revenue]],data_tab[Cost],data_tab[[#This Row],[Cost]]))&gt;1,"Duplicate","Unique")</f>
        <v>Unique</v>
      </c>
      <c r="M463">
        <f>data_tab[[#This Row],[Revenue]]-data_tab[[#This Row],[Cost]]</f>
        <v>129122.60711022001</v>
      </c>
      <c r="N463" t="str">
        <f>IF(data_tab[[#This Row],[Revenue]]&lt;0,"Return","Sale")</f>
        <v>Sale</v>
      </c>
    </row>
    <row r="464" spans="1:14">
      <c r="A464" s="1">
        <v>46156</v>
      </c>
      <c r="B464">
        <f>MONTH(data_tab[[#This Row],[Order Date]])</f>
        <v>5</v>
      </c>
      <c r="C464">
        <f>YEAR(data_tab[[#This Row],[Order Date]])</f>
        <v>2026</v>
      </c>
      <c r="D464" t="s">
        <v>40</v>
      </c>
      <c r="E464" t="s">
        <v>15</v>
      </c>
      <c r="F464" t="s">
        <v>21</v>
      </c>
      <c r="G464" t="s">
        <v>41</v>
      </c>
      <c r="H464">
        <v>1</v>
      </c>
      <c r="I464">
        <v>26681</v>
      </c>
      <c r="K464" t="str">
        <f>IF(AND(data_tab[[#This Row],[Revenue]]="",data_tab[[#This Row],[Cost]]=""),"Remove",IF(OR(data_tab[[#This Row],[Revenue]]="",data_tab[[#This Row],[Cost]]=""),"Flag","Valid"))</f>
        <v>Flag</v>
      </c>
      <c r="L464" t="str">
        <f>IF((COUNTIFS(data_tab[Revenue],data_tab[[#This Row],[Revenue]],data_tab[Cost],data_tab[[#This Row],[Cost]]))&gt;1,"Duplicate","Unique")</f>
        <v>Unique</v>
      </c>
      <c r="M464">
        <f>data_tab[[#This Row],[Revenue]]-data_tab[[#This Row],[Cost]]</f>
        <v>26681</v>
      </c>
      <c r="N464" t="str">
        <f>IF(data_tab[[#This Row],[Revenue]]&lt;0,"Return","Sale")</f>
        <v>Sale</v>
      </c>
    </row>
    <row r="465" spans="1:14" hidden="1">
      <c r="A465" s="1">
        <v>46095</v>
      </c>
      <c r="B465">
        <f>MONTH(data_tab[[#This Row],[Order Date]])</f>
        <v>3</v>
      </c>
      <c r="C465">
        <f>YEAR(data_tab[[#This Row],[Order Date]])</f>
        <v>2026</v>
      </c>
      <c r="D465" t="s">
        <v>35</v>
      </c>
      <c r="E465" t="s">
        <v>32</v>
      </c>
      <c r="F465" t="s">
        <v>24</v>
      </c>
      <c r="G465" t="s">
        <v>33</v>
      </c>
      <c r="H465">
        <v>1</v>
      </c>
      <c r="I465">
        <v>6364</v>
      </c>
      <c r="J465">
        <v>4171.3350868064499</v>
      </c>
      <c r="K465" t="str">
        <f>IF(AND(data_tab[[#This Row],[Revenue]]="",data_tab[[#This Row],[Cost]]=""),"Remove",IF(OR(data_tab[[#This Row],[Revenue]]="",data_tab[[#This Row],[Cost]]=""),"Flag","Valid"))</f>
        <v>Valid</v>
      </c>
      <c r="L465" t="str">
        <f>IF((COUNTIFS(data_tab[Revenue],data_tab[[#This Row],[Revenue]],data_tab[Cost],data_tab[[#This Row],[Cost]]))&gt;1,"Duplicate","Unique")</f>
        <v>Unique</v>
      </c>
      <c r="M465">
        <f>data_tab[[#This Row],[Revenue]]-data_tab[[#This Row],[Cost]]</f>
        <v>2192.6649131935501</v>
      </c>
      <c r="N465" t="str">
        <f>IF(data_tab[[#This Row],[Revenue]]&lt;0,"Return","Sale")</f>
        <v>Sale</v>
      </c>
    </row>
    <row r="466" spans="1:14" hidden="1">
      <c r="A466" s="1">
        <v>46050</v>
      </c>
      <c r="B466">
        <f>MONTH(data_tab[[#This Row],[Order Date]])</f>
        <v>1</v>
      </c>
      <c r="C466">
        <f>YEAR(data_tab[[#This Row],[Order Date]])</f>
        <v>2026</v>
      </c>
      <c r="D466" t="s">
        <v>23</v>
      </c>
      <c r="E466" t="s">
        <v>15</v>
      </c>
      <c r="F466" t="s">
        <v>36</v>
      </c>
      <c r="G466" t="s">
        <v>17</v>
      </c>
      <c r="H466">
        <v>7</v>
      </c>
      <c r="I466">
        <v>247289</v>
      </c>
      <c r="J466">
        <v>220246.65600136801</v>
      </c>
      <c r="K466" t="str">
        <f>IF(AND(data_tab[[#This Row],[Revenue]]="",data_tab[[#This Row],[Cost]]=""),"Remove",IF(OR(data_tab[[#This Row],[Revenue]]="",data_tab[[#This Row],[Cost]]=""),"Flag","Valid"))</f>
        <v>Valid</v>
      </c>
      <c r="L466" t="str">
        <f>IF((COUNTIFS(data_tab[Revenue],data_tab[[#This Row],[Revenue]],data_tab[Cost],data_tab[[#This Row],[Cost]]))&gt;1,"Duplicate","Unique")</f>
        <v>Unique</v>
      </c>
      <c r="M466">
        <f>data_tab[[#This Row],[Revenue]]-data_tab[[#This Row],[Cost]]</f>
        <v>27042.343998631986</v>
      </c>
      <c r="N466" t="str">
        <f>IF(data_tab[[#This Row],[Revenue]]&lt;0,"Return","Sale")</f>
        <v>Sale</v>
      </c>
    </row>
    <row r="467" spans="1:14">
      <c r="A467" s="1">
        <v>46159</v>
      </c>
      <c r="B467">
        <f>MONTH(data_tab[[#This Row],[Order Date]])</f>
        <v>5</v>
      </c>
      <c r="C467">
        <f>YEAR(data_tab[[#This Row],[Order Date]])</f>
        <v>2026</v>
      </c>
      <c r="D467" t="s">
        <v>31</v>
      </c>
      <c r="E467" t="s">
        <v>32</v>
      </c>
      <c r="F467" t="s">
        <v>36</v>
      </c>
      <c r="G467" t="s">
        <v>26</v>
      </c>
      <c r="H467">
        <v>1</v>
      </c>
      <c r="I467">
        <v>4605</v>
      </c>
      <c r="J467">
        <v>2758.19632141904</v>
      </c>
      <c r="K467" t="str">
        <f>IF(AND(data_tab[[#This Row],[Revenue]]="",data_tab[[#This Row],[Cost]]=""),"Remove",IF(OR(data_tab[[#This Row],[Revenue]]="",data_tab[[#This Row],[Cost]]=""),"Flag","Valid"))</f>
        <v>Valid</v>
      </c>
      <c r="L467" t="str">
        <f>IF((COUNTIFS(data_tab[Revenue],data_tab[[#This Row],[Revenue]],data_tab[Cost],data_tab[[#This Row],[Cost]]))&gt;1,"Duplicate","Unique")</f>
        <v>Unique</v>
      </c>
      <c r="M467">
        <f>data_tab[[#This Row],[Revenue]]-data_tab[[#This Row],[Cost]]</f>
        <v>1846.80367858096</v>
      </c>
      <c r="N467" t="str">
        <f>IF(data_tab[[#This Row],[Revenue]]&lt;0,"Return","Sale")</f>
        <v>Sale</v>
      </c>
    </row>
    <row r="468" spans="1:14" hidden="1">
      <c r="A468" s="1">
        <v>46297</v>
      </c>
      <c r="B468">
        <f>MONTH(data_tab[[#This Row],[Order Date]])</f>
        <v>10</v>
      </c>
      <c r="C468">
        <f>YEAR(data_tab[[#This Row],[Order Date]])</f>
        <v>2026</v>
      </c>
      <c r="D468" t="s">
        <v>14</v>
      </c>
      <c r="E468" t="s">
        <v>15</v>
      </c>
      <c r="F468" t="s">
        <v>16</v>
      </c>
      <c r="G468" t="s">
        <v>37</v>
      </c>
      <c r="H468">
        <v>5</v>
      </c>
      <c r="I468">
        <v>87395</v>
      </c>
      <c r="J468">
        <v>78515.472628365897</v>
      </c>
      <c r="K468" t="str">
        <f>IF(AND(data_tab[[#This Row],[Revenue]]="",data_tab[[#This Row],[Cost]]=""),"Remove",IF(OR(data_tab[[#This Row],[Revenue]]="",data_tab[[#This Row],[Cost]]=""),"Flag","Valid"))</f>
        <v>Valid</v>
      </c>
      <c r="L468" t="str">
        <f>IF((COUNTIFS(data_tab[Revenue],data_tab[[#This Row],[Revenue]],data_tab[Cost],data_tab[[#This Row],[Cost]]))&gt;1,"Duplicate","Unique")</f>
        <v>Unique</v>
      </c>
      <c r="M468">
        <f>data_tab[[#This Row],[Revenue]]-data_tab[[#This Row],[Cost]]</f>
        <v>8879.5273716341035</v>
      </c>
      <c r="N468" t="str">
        <f>IF(data_tab[[#This Row],[Revenue]]&lt;0,"Return","Sale")</f>
        <v>Sale</v>
      </c>
    </row>
    <row r="469" spans="1:14" hidden="1">
      <c r="A469" s="1">
        <v>46088</v>
      </c>
      <c r="B469">
        <f>MONTH(data_tab[[#This Row],[Order Date]])</f>
        <v>3</v>
      </c>
      <c r="C469">
        <f>YEAR(data_tab[[#This Row],[Order Date]])</f>
        <v>2026</v>
      </c>
      <c r="D469" t="s">
        <v>23</v>
      </c>
      <c r="E469" t="s">
        <v>15</v>
      </c>
      <c r="F469" t="s">
        <v>24</v>
      </c>
      <c r="G469" t="s">
        <v>26</v>
      </c>
      <c r="H469">
        <v>5</v>
      </c>
      <c r="I469">
        <v>83915</v>
      </c>
      <c r="J469">
        <v>47049.736795681602</v>
      </c>
      <c r="K469" t="str">
        <f>IF(AND(data_tab[[#This Row],[Revenue]]="",data_tab[[#This Row],[Cost]]=""),"Remove",IF(OR(data_tab[[#This Row],[Revenue]]="",data_tab[[#This Row],[Cost]]=""),"Flag","Valid"))</f>
        <v>Valid</v>
      </c>
      <c r="L469" t="str">
        <f>IF((COUNTIFS(data_tab[Revenue],data_tab[[#This Row],[Revenue]],data_tab[Cost],data_tab[[#This Row],[Cost]]))&gt;1,"Duplicate","Unique")</f>
        <v>Unique</v>
      </c>
      <c r="M469">
        <f>data_tab[[#This Row],[Revenue]]-data_tab[[#This Row],[Cost]]</f>
        <v>36865.263204318398</v>
      </c>
      <c r="N469" t="str">
        <f>IF(data_tab[[#This Row],[Revenue]]&lt;0,"Return","Sale")</f>
        <v>Sale</v>
      </c>
    </row>
    <row r="470" spans="1:14" hidden="1">
      <c r="A470" s="1">
        <v>46120</v>
      </c>
      <c r="B470">
        <f>MONTH(data_tab[[#This Row],[Order Date]])</f>
        <v>4</v>
      </c>
      <c r="C470">
        <f>YEAR(data_tab[[#This Row],[Order Date]])</f>
        <v>2026</v>
      </c>
      <c r="D470" t="s">
        <v>23</v>
      </c>
      <c r="E470" t="s">
        <v>15</v>
      </c>
      <c r="F470" t="s">
        <v>21</v>
      </c>
      <c r="G470" t="s">
        <v>33</v>
      </c>
      <c r="H470">
        <v>4</v>
      </c>
      <c r="I470">
        <v>158180</v>
      </c>
      <c r="J470">
        <v>88754.744482571507</v>
      </c>
      <c r="K470" t="str">
        <f>IF(AND(data_tab[[#This Row],[Revenue]]="",data_tab[[#This Row],[Cost]]=""),"Remove",IF(OR(data_tab[[#This Row],[Revenue]]="",data_tab[[#This Row],[Cost]]=""),"Flag","Valid"))</f>
        <v>Valid</v>
      </c>
      <c r="L470" t="str">
        <f>IF((COUNTIFS(data_tab[Revenue],data_tab[[#This Row],[Revenue]],data_tab[Cost],data_tab[[#This Row],[Cost]]))&gt;1,"Duplicate","Unique")</f>
        <v>Unique</v>
      </c>
      <c r="M470">
        <f>data_tab[[#This Row],[Revenue]]-data_tab[[#This Row],[Cost]]</f>
        <v>69425.255517428493</v>
      </c>
      <c r="N470" t="str">
        <f>IF(data_tab[[#This Row],[Revenue]]&lt;0,"Return","Sale")</f>
        <v>Sale</v>
      </c>
    </row>
    <row r="471" spans="1:14">
      <c r="A471" s="1">
        <v>46161</v>
      </c>
      <c r="B471">
        <f>MONTH(data_tab[[#This Row],[Order Date]])</f>
        <v>5</v>
      </c>
      <c r="C471">
        <f>YEAR(data_tab[[#This Row],[Order Date]])</f>
        <v>2026</v>
      </c>
      <c r="D471" t="s">
        <v>14</v>
      </c>
      <c r="E471" t="s">
        <v>15</v>
      </c>
      <c r="F471" t="s">
        <v>21</v>
      </c>
      <c r="G471" t="s">
        <v>26</v>
      </c>
      <c r="H471">
        <v>9</v>
      </c>
      <c r="I471">
        <v>421461</v>
      </c>
      <c r="J471">
        <v>345615.73133614298</v>
      </c>
      <c r="K471" t="str">
        <f>IF(AND(data_tab[[#This Row],[Revenue]]="",data_tab[[#This Row],[Cost]]=""),"Remove",IF(OR(data_tab[[#This Row],[Revenue]]="",data_tab[[#This Row],[Cost]]=""),"Flag","Valid"))</f>
        <v>Valid</v>
      </c>
      <c r="L471" t="str">
        <f>IF((COUNTIFS(data_tab[Revenue],data_tab[[#This Row],[Revenue]],data_tab[Cost],data_tab[[#This Row],[Cost]]))&gt;1,"Duplicate","Unique")</f>
        <v>Unique</v>
      </c>
      <c r="M471">
        <f>data_tab[[#This Row],[Revenue]]-data_tab[[#This Row],[Cost]]</f>
        <v>75845.268663857016</v>
      </c>
      <c r="N471" t="str">
        <f>IF(data_tab[[#This Row],[Revenue]]&lt;0,"Return","Sale")</f>
        <v>Sale</v>
      </c>
    </row>
    <row r="472" spans="1:14">
      <c r="A472" s="1">
        <v>46157</v>
      </c>
      <c r="B472">
        <f>MONTH(data_tab[[#This Row],[Order Date]])</f>
        <v>5</v>
      </c>
      <c r="C472">
        <f>YEAR(data_tab[[#This Row],[Order Date]])</f>
        <v>2026</v>
      </c>
      <c r="D472" t="s">
        <v>23</v>
      </c>
      <c r="E472" t="s">
        <v>15</v>
      </c>
      <c r="F472" t="s">
        <v>21</v>
      </c>
      <c r="G472" t="s">
        <v>41</v>
      </c>
      <c r="H472">
        <v>10</v>
      </c>
      <c r="I472">
        <v>123570</v>
      </c>
      <c r="J472">
        <v>77478.202709495294</v>
      </c>
      <c r="K472" t="str">
        <f>IF(AND(data_tab[[#This Row],[Revenue]]="",data_tab[[#This Row],[Cost]]=""),"Remove",IF(OR(data_tab[[#This Row],[Revenue]]="",data_tab[[#This Row],[Cost]]=""),"Flag","Valid"))</f>
        <v>Valid</v>
      </c>
      <c r="L472" t="str">
        <f>IF((COUNTIFS(data_tab[Revenue],data_tab[[#This Row],[Revenue]],data_tab[Cost],data_tab[[#This Row],[Cost]]))&gt;1,"Duplicate","Unique")</f>
        <v>Unique</v>
      </c>
      <c r="M472">
        <f>data_tab[[#This Row],[Revenue]]-data_tab[[#This Row],[Cost]]</f>
        <v>46091.797290504706</v>
      </c>
      <c r="N472" t="str">
        <f>IF(data_tab[[#This Row],[Revenue]]&lt;0,"Return","Sale")</f>
        <v>Sale</v>
      </c>
    </row>
    <row r="473" spans="1:14" hidden="1">
      <c r="A473" s="1">
        <v>46104</v>
      </c>
      <c r="B473">
        <f>MONTH(data_tab[[#This Row],[Order Date]])</f>
        <v>3</v>
      </c>
      <c r="C473">
        <f>YEAR(data_tab[[#This Row],[Order Date]])</f>
        <v>2026</v>
      </c>
      <c r="D473" t="s">
        <v>20</v>
      </c>
      <c r="E473" t="s">
        <v>15</v>
      </c>
      <c r="F473" t="s">
        <v>16</v>
      </c>
      <c r="G473" t="s">
        <v>33</v>
      </c>
      <c r="H473">
        <v>7</v>
      </c>
      <c r="I473">
        <v>153160</v>
      </c>
      <c r="J473">
        <v>103720.226894609</v>
      </c>
      <c r="K473" t="str">
        <f>IF(AND(data_tab[[#This Row],[Revenue]]="",data_tab[[#This Row],[Cost]]=""),"Remove",IF(OR(data_tab[[#This Row],[Revenue]]="",data_tab[[#This Row],[Cost]]=""),"Flag","Valid"))</f>
        <v>Valid</v>
      </c>
      <c r="L473" t="str">
        <f>IF((COUNTIFS(data_tab[Revenue],data_tab[[#This Row],[Revenue]],data_tab[Cost],data_tab[[#This Row],[Cost]]))&gt;1,"Duplicate","Unique")</f>
        <v>Unique</v>
      </c>
      <c r="M473">
        <f>data_tab[[#This Row],[Revenue]]-data_tab[[#This Row],[Cost]]</f>
        <v>49439.773105390996</v>
      </c>
      <c r="N473" t="str">
        <f>IF(data_tab[[#This Row],[Revenue]]&lt;0,"Return","Sale")</f>
        <v>Sale</v>
      </c>
    </row>
    <row r="474" spans="1:14" hidden="1">
      <c r="A474" s="1">
        <v>46359</v>
      </c>
      <c r="B474">
        <f>MONTH(data_tab[[#This Row],[Order Date]])</f>
        <v>12</v>
      </c>
      <c r="C474">
        <f>YEAR(data_tab[[#This Row],[Order Date]])</f>
        <v>2026</v>
      </c>
      <c r="D474" t="s">
        <v>31</v>
      </c>
      <c r="E474" t="s">
        <v>32</v>
      </c>
      <c r="F474" t="s">
        <v>24</v>
      </c>
      <c r="G474" t="s">
        <v>17</v>
      </c>
      <c r="H474">
        <v>3</v>
      </c>
      <c r="I474">
        <v>11148</v>
      </c>
      <c r="J474">
        <v>8973.9058194620393</v>
      </c>
      <c r="K474" t="str">
        <f>IF(AND(data_tab[[#This Row],[Revenue]]="",data_tab[[#This Row],[Cost]]=""),"Remove",IF(OR(data_tab[[#This Row],[Revenue]]="",data_tab[[#This Row],[Cost]]=""),"Flag","Valid"))</f>
        <v>Valid</v>
      </c>
      <c r="L474" t="str">
        <f>IF((COUNTIFS(data_tab[Revenue],data_tab[[#This Row],[Revenue]],data_tab[Cost],data_tab[[#This Row],[Cost]]))&gt;1,"Duplicate","Unique")</f>
        <v>Unique</v>
      </c>
      <c r="M474">
        <f>data_tab[[#This Row],[Revenue]]-data_tab[[#This Row],[Cost]]</f>
        <v>2174.0941805379607</v>
      </c>
      <c r="N474" t="str">
        <f>IF(data_tab[[#This Row],[Revenue]]&lt;0,"Return","Sale")</f>
        <v>Sale</v>
      </c>
    </row>
    <row r="475" spans="1:14" hidden="1">
      <c r="A475" s="1">
        <v>46082</v>
      </c>
      <c r="B475">
        <f>MONTH(data_tab[[#This Row],[Order Date]])</f>
        <v>3</v>
      </c>
      <c r="C475">
        <f>YEAR(data_tab[[#This Row],[Order Date]])</f>
        <v>2026</v>
      </c>
      <c r="D475" t="s">
        <v>20</v>
      </c>
      <c r="E475" t="s">
        <v>15</v>
      </c>
      <c r="F475" t="s">
        <v>16</v>
      </c>
      <c r="G475" t="s">
        <v>39</v>
      </c>
      <c r="H475">
        <v>8</v>
      </c>
      <c r="I475">
        <v>86296</v>
      </c>
      <c r="J475">
        <v>60487.441039450001</v>
      </c>
      <c r="K475" t="str">
        <f>IF(AND(data_tab[[#This Row],[Revenue]]="",data_tab[[#This Row],[Cost]]=""),"Remove",IF(OR(data_tab[[#This Row],[Revenue]]="",data_tab[[#This Row],[Cost]]=""),"Flag","Valid"))</f>
        <v>Valid</v>
      </c>
      <c r="L475" t="str">
        <f>IF((COUNTIFS(data_tab[Revenue],data_tab[[#This Row],[Revenue]],data_tab[Cost],data_tab[[#This Row],[Cost]]))&gt;1,"Duplicate","Unique")</f>
        <v>Unique</v>
      </c>
      <c r="M475">
        <f>data_tab[[#This Row],[Revenue]]-data_tab[[#This Row],[Cost]]</f>
        <v>25808.558960549999</v>
      </c>
      <c r="N475" t="str">
        <f>IF(data_tab[[#This Row],[Revenue]]&lt;0,"Return","Sale")</f>
        <v>Sale</v>
      </c>
    </row>
    <row r="476" spans="1:14" hidden="1">
      <c r="A476" s="1">
        <v>46122</v>
      </c>
      <c r="B476">
        <f>MONTH(data_tab[[#This Row],[Order Date]])</f>
        <v>4</v>
      </c>
      <c r="C476">
        <f>YEAR(data_tab[[#This Row],[Order Date]])</f>
        <v>2026</v>
      </c>
      <c r="D476" t="s">
        <v>31</v>
      </c>
      <c r="E476" t="s">
        <v>32</v>
      </c>
      <c r="F476" t="s">
        <v>21</v>
      </c>
      <c r="G476" t="s">
        <v>39</v>
      </c>
      <c r="H476">
        <v>7</v>
      </c>
      <c r="I476">
        <v>20881</v>
      </c>
      <c r="J476">
        <v>18170.103988375999</v>
      </c>
      <c r="K476" t="str">
        <f>IF(AND(data_tab[[#This Row],[Revenue]]="",data_tab[[#This Row],[Cost]]=""),"Remove",IF(OR(data_tab[[#This Row],[Revenue]]="",data_tab[[#This Row],[Cost]]=""),"Flag","Valid"))</f>
        <v>Valid</v>
      </c>
      <c r="L476" t="str">
        <f>IF((COUNTIFS(data_tab[Revenue],data_tab[[#This Row],[Revenue]],data_tab[Cost],data_tab[[#This Row],[Cost]]))&gt;1,"Duplicate","Unique")</f>
        <v>Unique</v>
      </c>
      <c r="M476">
        <f>data_tab[[#This Row],[Revenue]]-data_tab[[#This Row],[Cost]]</f>
        <v>2710.8960116240014</v>
      </c>
      <c r="N476" t="str">
        <f>IF(data_tab[[#This Row],[Revenue]]&lt;0,"Return","Sale")</f>
        <v>Sale</v>
      </c>
    </row>
    <row r="477" spans="1:14" hidden="1">
      <c r="A477" s="1">
        <v>46074</v>
      </c>
      <c r="B477">
        <f>MONTH(data_tab[[#This Row],[Order Date]])</f>
        <v>2</v>
      </c>
      <c r="C477">
        <f>YEAR(data_tab[[#This Row],[Order Date]])</f>
        <v>2026</v>
      </c>
      <c r="D477" t="s">
        <v>29</v>
      </c>
      <c r="E477" t="s">
        <v>15</v>
      </c>
      <c r="F477" t="s">
        <v>36</v>
      </c>
      <c r="G477" t="s">
        <v>41</v>
      </c>
      <c r="H477">
        <v>6</v>
      </c>
      <c r="I477">
        <v>191910</v>
      </c>
      <c r="J477">
        <v>164089.722007662</v>
      </c>
      <c r="K477" t="str">
        <f>IF(AND(data_tab[[#This Row],[Revenue]]="",data_tab[[#This Row],[Cost]]=""),"Remove",IF(OR(data_tab[[#This Row],[Revenue]]="",data_tab[[#This Row],[Cost]]=""),"Flag","Valid"))</f>
        <v>Valid</v>
      </c>
      <c r="L477" t="str">
        <f>IF((COUNTIFS(data_tab[Revenue],data_tab[[#This Row],[Revenue]],data_tab[Cost],data_tab[[#This Row],[Cost]]))&gt;1,"Duplicate","Unique")</f>
        <v>Unique</v>
      </c>
      <c r="M477">
        <f>data_tab[[#This Row],[Revenue]]-data_tab[[#This Row],[Cost]]</f>
        <v>27820.277992338</v>
      </c>
      <c r="N477" t="str">
        <f>IF(data_tab[[#This Row],[Revenue]]&lt;0,"Return","Sale")</f>
        <v>Sale</v>
      </c>
    </row>
    <row r="478" spans="1:14" hidden="1">
      <c r="A478" s="1">
        <v>46120</v>
      </c>
      <c r="B478">
        <f>MONTH(data_tab[[#This Row],[Order Date]])</f>
        <v>4</v>
      </c>
      <c r="C478">
        <f>YEAR(data_tab[[#This Row],[Order Date]])</f>
        <v>2026</v>
      </c>
      <c r="D478" t="s">
        <v>14</v>
      </c>
      <c r="E478" t="s">
        <v>15</v>
      </c>
      <c r="F478" t="s">
        <v>24</v>
      </c>
      <c r="G478" t="s">
        <v>26</v>
      </c>
      <c r="H478">
        <v>2</v>
      </c>
      <c r="I478">
        <v>63192</v>
      </c>
      <c r="J478">
        <v>43144.980636514403</v>
      </c>
      <c r="K478" t="str">
        <f>IF(AND(data_tab[[#This Row],[Revenue]]="",data_tab[[#This Row],[Cost]]=""),"Remove",IF(OR(data_tab[[#This Row],[Revenue]]="",data_tab[[#This Row],[Cost]]=""),"Flag","Valid"))</f>
        <v>Valid</v>
      </c>
      <c r="L478" t="str">
        <f>IF((COUNTIFS(data_tab[Revenue],data_tab[[#This Row],[Revenue]],data_tab[Cost],data_tab[[#This Row],[Cost]]))&gt;1,"Duplicate","Unique")</f>
        <v>Unique</v>
      </c>
      <c r="M478">
        <f>data_tab[[#This Row],[Revenue]]-data_tab[[#This Row],[Cost]]</f>
        <v>20047.019363485597</v>
      </c>
      <c r="N478" t="str">
        <f>IF(data_tab[[#This Row],[Revenue]]&lt;0,"Return","Sale")</f>
        <v>Sale</v>
      </c>
    </row>
    <row r="479" spans="1:14">
      <c r="A479" s="1">
        <v>46160</v>
      </c>
      <c r="B479">
        <f>MONTH(data_tab[[#This Row],[Order Date]])</f>
        <v>5</v>
      </c>
      <c r="C479">
        <f>YEAR(data_tab[[#This Row],[Order Date]])</f>
        <v>2026</v>
      </c>
      <c r="D479" t="s">
        <v>40</v>
      </c>
      <c r="E479" t="s">
        <v>15</v>
      </c>
      <c r="F479" t="s">
        <v>36</v>
      </c>
      <c r="G479" t="s">
        <v>26</v>
      </c>
      <c r="H479">
        <v>1</v>
      </c>
      <c r="I479">
        <v>14442</v>
      </c>
      <c r="J479">
        <v>8903.0849397541206</v>
      </c>
      <c r="K479" t="str">
        <f>IF(AND(data_tab[[#This Row],[Revenue]]="",data_tab[[#This Row],[Cost]]=""),"Remove",IF(OR(data_tab[[#This Row],[Revenue]]="",data_tab[[#This Row],[Cost]]=""),"Flag","Valid"))</f>
        <v>Valid</v>
      </c>
      <c r="L479" t="str">
        <f>IF((COUNTIFS(data_tab[Revenue],data_tab[[#This Row],[Revenue]],data_tab[Cost],data_tab[[#This Row],[Cost]]))&gt;1,"Duplicate","Unique")</f>
        <v>Unique</v>
      </c>
      <c r="M479">
        <f>data_tab[[#This Row],[Revenue]]-data_tab[[#This Row],[Cost]]</f>
        <v>5538.9150602458794</v>
      </c>
      <c r="N479" t="str">
        <f>IF(data_tab[[#This Row],[Revenue]]&lt;0,"Return","Sale")</f>
        <v>Sale</v>
      </c>
    </row>
    <row r="480" spans="1:14" hidden="1">
      <c r="A480" s="1">
        <v>46141</v>
      </c>
      <c r="B480">
        <f>MONTH(data_tab[[#This Row],[Order Date]])</f>
        <v>4</v>
      </c>
      <c r="C480">
        <f>YEAR(data_tab[[#This Row],[Order Date]])</f>
        <v>2026</v>
      </c>
      <c r="D480" t="s">
        <v>35</v>
      </c>
      <c r="E480" t="s">
        <v>32</v>
      </c>
      <c r="F480" t="s">
        <v>24</v>
      </c>
      <c r="G480" t="s">
        <v>41</v>
      </c>
      <c r="H480">
        <v>9</v>
      </c>
      <c r="I480">
        <v>101889</v>
      </c>
      <c r="J480">
        <v>69837.938379806306</v>
      </c>
      <c r="K480" t="str">
        <f>IF(AND(data_tab[[#This Row],[Revenue]]="",data_tab[[#This Row],[Cost]]=""),"Remove",IF(OR(data_tab[[#This Row],[Revenue]]="",data_tab[[#This Row],[Cost]]=""),"Flag","Valid"))</f>
        <v>Valid</v>
      </c>
      <c r="L480" t="str">
        <f>IF((COUNTIFS(data_tab[Revenue],data_tab[[#This Row],[Revenue]],data_tab[Cost],data_tab[[#This Row],[Cost]]))&gt;1,"Duplicate","Unique")</f>
        <v>Unique</v>
      </c>
      <c r="M480">
        <f>data_tab[[#This Row],[Revenue]]-data_tab[[#This Row],[Cost]]</f>
        <v>32051.061620193694</v>
      </c>
      <c r="N480" t="str">
        <f>IF(data_tab[[#This Row],[Revenue]]&lt;0,"Return","Sale")</f>
        <v>Sale</v>
      </c>
    </row>
    <row r="481" spans="1:14" hidden="1">
      <c r="A481" s="1">
        <v>46069</v>
      </c>
      <c r="B481">
        <f>MONTH(data_tab[[#This Row],[Order Date]])</f>
        <v>2</v>
      </c>
      <c r="C481">
        <f>YEAR(data_tab[[#This Row],[Order Date]])</f>
        <v>2026</v>
      </c>
      <c r="D481" t="s">
        <v>14</v>
      </c>
      <c r="E481" t="s">
        <v>15</v>
      </c>
      <c r="F481" t="s">
        <v>21</v>
      </c>
      <c r="G481" t="s">
        <v>33</v>
      </c>
      <c r="H481">
        <v>7</v>
      </c>
      <c r="I481">
        <v>162386</v>
      </c>
      <c r="J481">
        <v>110480.020170078</v>
      </c>
      <c r="K481" t="str">
        <f>IF(AND(data_tab[[#This Row],[Revenue]]="",data_tab[[#This Row],[Cost]]=""),"Remove",IF(OR(data_tab[[#This Row],[Revenue]]="",data_tab[[#This Row],[Cost]]=""),"Flag","Valid"))</f>
        <v>Valid</v>
      </c>
      <c r="L481" t="str">
        <f>IF((COUNTIFS(data_tab[Revenue],data_tab[[#This Row],[Revenue]],data_tab[Cost],data_tab[[#This Row],[Cost]]))&gt;1,"Duplicate","Unique")</f>
        <v>Unique</v>
      </c>
      <c r="M481">
        <f>data_tab[[#This Row],[Revenue]]-data_tab[[#This Row],[Cost]]</f>
        <v>51905.979829921998</v>
      </c>
      <c r="N481" t="str">
        <f>IF(data_tab[[#This Row],[Revenue]]&lt;0,"Return","Sale")</f>
        <v>Sale</v>
      </c>
    </row>
    <row r="482" spans="1:14" hidden="1">
      <c r="A482" s="1">
        <v>46074</v>
      </c>
      <c r="B482">
        <f>MONTH(data_tab[[#This Row],[Order Date]])</f>
        <v>2</v>
      </c>
      <c r="C482">
        <f>YEAR(data_tab[[#This Row],[Order Date]])</f>
        <v>2026</v>
      </c>
      <c r="D482" t="s">
        <v>35</v>
      </c>
      <c r="E482" t="s">
        <v>32</v>
      </c>
      <c r="F482" t="s">
        <v>21</v>
      </c>
      <c r="G482" t="s">
        <v>41</v>
      </c>
      <c r="H482">
        <v>2</v>
      </c>
      <c r="I482">
        <v>15952</v>
      </c>
      <c r="J482">
        <v>8704.4636416486701</v>
      </c>
      <c r="K482" t="str">
        <f>IF(AND(data_tab[[#This Row],[Revenue]]="",data_tab[[#This Row],[Cost]]=""),"Remove",IF(OR(data_tab[[#This Row],[Revenue]]="",data_tab[[#This Row],[Cost]]=""),"Flag","Valid"))</f>
        <v>Valid</v>
      </c>
      <c r="L482" t="str">
        <f>IF((COUNTIFS(data_tab[Revenue],data_tab[[#This Row],[Revenue]],data_tab[Cost],data_tab[[#This Row],[Cost]]))&gt;1,"Duplicate","Unique")</f>
        <v>Unique</v>
      </c>
      <c r="M482">
        <f>data_tab[[#This Row],[Revenue]]-data_tab[[#This Row],[Cost]]</f>
        <v>7247.5363583513299</v>
      </c>
      <c r="N482" t="str">
        <f>IF(data_tab[[#This Row],[Revenue]]&lt;0,"Return","Sale")</f>
        <v>Sale</v>
      </c>
    </row>
    <row r="483" spans="1:14" hidden="1">
      <c r="A483" s="1">
        <v>46121</v>
      </c>
      <c r="B483">
        <f>MONTH(data_tab[[#This Row],[Order Date]])</f>
        <v>4</v>
      </c>
      <c r="C483">
        <f>YEAR(data_tab[[#This Row],[Order Date]])</f>
        <v>2026</v>
      </c>
      <c r="D483" t="s">
        <v>40</v>
      </c>
      <c r="E483" t="s">
        <v>15</v>
      </c>
      <c r="F483" t="s">
        <v>21</v>
      </c>
      <c r="G483" t="s">
        <v>33</v>
      </c>
      <c r="H483">
        <v>9</v>
      </c>
      <c r="I483">
        <v>242487</v>
      </c>
      <c r="J483">
        <v>125502.161784622</v>
      </c>
      <c r="K483" t="str">
        <f>IF(AND(data_tab[[#This Row],[Revenue]]="",data_tab[[#This Row],[Cost]]=""),"Remove",IF(OR(data_tab[[#This Row],[Revenue]]="",data_tab[[#This Row],[Cost]]=""),"Flag","Valid"))</f>
        <v>Valid</v>
      </c>
      <c r="L483" t="str">
        <f>IF((COUNTIFS(data_tab[Revenue],data_tab[[#This Row],[Revenue]],data_tab[Cost],data_tab[[#This Row],[Cost]]))&gt;1,"Duplicate","Unique")</f>
        <v>Unique</v>
      </c>
      <c r="M483">
        <f>data_tab[[#This Row],[Revenue]]-data_tab[[#This Row],[Cost]]</f>
        <v>116984.838215378</v>
      </c>
      <c r="N483" t="str">
        <f>IF(data_tab[[#This Row],[Revenue]]&lt;0,"Return","Sale")</f>
        <v>Sale</v>
      </c>
    </row>
    <row r="484" spans="1:14" hidden="1">
      <c r="A484" s="1">
        <v>46236</v>
      </c>
      <c r="B484">
        <f>MONTH(data_tab[[#This Row],[Order Date]])</f>
        <v>8</v>
      </c>
      <c r="C484">
        <f>YEAR(data_tab[[#This Row],[Order Date]])</f>
        <v>2026</v>
      </c>
      <c r="D484" t="s">
        <v>31</v>
      </c>
      <c r="E484" t="s">
        <v>32</v>
      </c>
      <c r="F484" t="s">
        <v>21</v>
      </c>
      <c r="G484" t="s">
        <v>41</v>
      </c>
      <c r="H484">
        <v>1</v>
      </c>
      <c r="I484">
        <v>29497</v>
      </c>
      <c r="J484">
        <v>18383.2643506612</v>
      </c>
      <c r="K484" t="str">
        <f>IF(AND(data_tab[[#This Row],[Revenue]]="",data_tab[[#This Row],[Cost]]=""),"Remove",IF(OR(data_tab[[#This Row],[Revenue]]="",data_tab[[#This Row],[Cost]]=""),"Flag","Valid"))</f>
        <v>Valid</v>
      </c>
      <c r="L484" t="str">
        <f>IF((COUNTIFS(data_tab[Revenue],data_tab[[#This Row],[Revenue]],data_tab[Cost],data_tab[[#This Row],[Cost]]))&gt;1,"Duplicate","Unique")</f>
        <v>Unique</v>
      </c>
      <c r="M484">
        <f>data_tab[[#This Row],[Revenue]]-data_tab[[#This Row],[Cost]]</f>
        <v>11113.7356493388</v>
      </c>
      <c r="N484" t="str">
        <f>IF(data_tab[[#This Row],[Revenue]]&lt;0,"Return","Sale")</f>
        <v>Sale</v>
      </c>
    </row>
    <row r="485" spans="1:14" hidden="1">
      <c r="A485" s="1">
        <v>46069</v>
      </c>
      <c r="B485">
        <f>MONTH(data_tab[[#This Row],[Order Date]])</f>
        <v>2</v>
      </c>
      <c r="C485">
        <f>YEAR(data_tab[[#This Row],[Order Date]])</f>
        <v>2026</v>
      </c>
      <c r="D485" t="s">
        <v>31</v>
      </c>
      <c r="E485" t="s">
        <v>32</v>
      </c>
      <c r="F485" t="s">
        <v>21</v>
      </c>
      <c r="G485" t="s">
        <v>39</v>
      </c>
      <c r="H485">
        <v>10</v>
      </c>
      <c r="I485">
        <v>185870</v>
      </c>
      <c r="J485">
        <v>93842.622899138601</v>
      </c>
      <c r="K485" t="str">
        <f>IF(AND(data_tab[[#This Row],[Revenue]]="",data_tab[[#This Row],[Cost]]=""),"Remove",IF(OR(data_tab[[#This Row],[Revenue]]="",data_tab[[#This Row],[Cost]]=""),"Flag","Valid"))</f>
        <v>Valid</v>
      </c>
      <c r="L485" t="str">
        <f>IF((COUNTIFS(data_tab[Revenue],data_tab[[#This Row],[Revenue]],data_tab[Cost],data_tab[[#This Row],[Cost]]))&gt;1,"Duplicate","Unique")</f>
        <v>Unique</v>
      </c>
      <c r="M485">
        <f>data_tab[[#This Row],[Revenue]]-data_tab[[#This Row],[Cost]]</f>
        <v>92027.377100861399</v>
      </c>
      <c r="N485" t="str">
        <f>IF(data_tab[[#This Row],[Revenue]]&lt;0,"Return","Sale")</f>
        <v>Sale</v>
      </c>
    </row>
    <row r="486" spans="1:14" hidden="1">
      <c r="A486" s="1">
        <v>46178</v>
      </c>
      <c r="B486">
        <f>MONTH(data_tab[[#This Row],[Order Date]])</f>
        <v>6</v>
      </c>
      <c r="C486">
        <f>YEAR(data_tab[[#This Row],[Order Date]])</f>
        <v>2026</v>
      </c>
      <c r="D486" t="s">
        <v>40</v>
      </c>
      <c r="E486" t="s">
        <v>15</v>
      </c>
      <c r="F486" t="s">
        <v>36</v>
      </c>
      <c r="G486" t="s">
        <v>33</v>
      </c>
      <c r="H486">
        <v>7</v>
      </c>
      <c r="I486">
        <v>216706</v>
      </c>
      <c r="J486">
        <v>115236.008809295</v>
      </c>
      <c r="K486" t="str">
        <f>IF(AND(data_tab[[#This Row],[Revenue]]="",data_tab[[#This Row],[Cost]]=""),"Remove",IF(OR(data_tab[[#This Row],[Revenue]]="",data_tab[[#This Row],[Cost]]=""),"Flag","Valid"))</f>
        <v>Valid</v>
      </c>
      <c r="L486" t="str">
        <f>IF((COUNTIFS(data_tab[Revenue],data_tab[[#This Row],[Revenue]],data_tab[Cost],data_tab[[#This Row],[Cost]]))&gt;1,"Duplicate","Unique")</f>
        <v>Unique</v>
      </c>
      <c r="M486">
        <f>data_tab[[#This Row],[Revenue]]-data_tab[[#This Row],[Cost]]</f>
        <v>101469.991190705</v>
      </c>
      <c r="N486" t="str">
        <f>IF(data_tab[[#This Row],[Revenue]]&lt;0,"Return","Sale")</f>
        <v>Sale</v>
      </c>
    </row>
    <row r="487" spans="1:14" hidden="1">
      <c r="A487" s="1">
        <v>46181</v>
      </c>
      <c r="B487">
        <f>MONTH(data_tab[[#This Row],[Order Date]])</f>
        <v>6</v>
      </c>
      <c r="C487">
        <f>YEAR(data_tab[[#This Row],[Order Date]])</f>
        <v>2026</v>
      </c>
      <c r="D487" t="s">
        <v>31</v>
      </c>
      <c r="E487" t="s">
        <v>32</v>
      </c>
      <c r="F487" t="s">
        <v>24</v>
      </c>
      <c r="G487" t="s">
        <v>17</v>
      </c>
      <c r="H487">
        <v>3</v>
      </c>
      <c r="J487">
        <v>12808.292079639101</v>
      </c>
      <c r="K487" t="str">
        <f>IF(AND(data_tab[[#This Row],[Revenue]]="",data_tab[[#This Row],[Cost]]=""),"Remove",IF(OR(data_tab[[#This Row],[Revenue]]="",data_tab[[#This Row],[Cost]]=""),"Flag","Valid"))</f>
        <v>Flag</v>
      </c>
      <c r="L487" t="str">
        <f>IF((COUNTIFS(data_tab[Revenue],data_tab[[#This Row],[Revenue]],data_tab[Cost],data_tab[[#This Row],[Cost]]))&gt;1,"Duplicate","Unique")</f>
        <v>Unique</v>
      </c>
      <c r="M487">
        <f>data_tab[[#This Row],[Revenue]]-data_tab[[#This Row],[Cost]]</f>
        <v>-12808.292079639101</v>
      </c>
      <c r="N487" t="str">
        <f>IF(data_tab[[#This Row],[Revenue]]&lt;0,"Return","Sale")</f>
        <v>Sale</v>
      </c>
    </row>
    <row r="488" spans="1:14" hidden="1">
      <c r="A488" s="1">
        <v>46177</v>
      </c>
      <c r="B488">
        <f>MONTH(data_tab[[#This Row],[Order Date]])</f>
        <v>6</v>
      </c>
      <c r="C488">
        <f>YEAR(data_tab[[#This Row],[Order Date]])</f>
        <v>2026</v>
      </c>
      <c r="D488" t="s">
        <v>20</v>
      </c>
      <c r="E488" t="s">
        <v>15</v>
      </c>
      <c r="F488" t="s">
        <v>24</v>
      </c>
      <c r="G488" t="s">
        <v>33</v>
      </c>
      <c r="H488">
        <v>3</v>
      </c>
      <c r="I488">
        <v>37719</v>
      </c>
      <c r="J488">
        <v>28999.732556305898</v>
      </c>
      <c r="K488" t="str">
        <f>IF(AND(data_tab[[#This Row],[Revenue]]="",data_tab[[#This Row],[Cost]]=""),"Remove",IF(OR(data_tab[[#This Row],[Revenue]]="",data_tab[[#This Row],[Cost]]=""),"Flag","Valid"))</f>
        <v>Valid</v>
      </c>
      <c r="L488" t="str">
        <f>IF((COUNTIFS(data_tab[Revenue],data_tab[[#This Row],[Revenue]],data_tab[Cost],data_tab[[#This Row],[Cost]]))&gt;1,"Duplicate","Unique")</f>
        <v>Unique</v>
      </c>
      <c r="M488">
        <f>data_tab[[#This Row],[Revenue]]-data_tab[[#This Row],[Cost]]</f>
        <v>8719.2674436941015</v>
      </c>
      <c r="N488" t="str">
        <f>IF(data_tab[[#This Row],[Revenue]]&lt;0,"Return","Sale")</f>
        <v>Sale</v>
      </c>
    </row>
    <row r="489" spans="1:14">
      <c r="A489" s="1">
        <v>46166</v>
      </c>
      <c r="B489">
        <f>MONTH(data_tab[[#This Row],[Order Date]])</f>
        <v>5</v>
      </c>
      <c r="C489">
        <f>YEAR(data_tab[[#This Row],[Order Date]])</f>
        <v>2026</v>
      </c>
      <c r="D489" t="s">
        <v>29</v>
      </c>
      <c r="E489" t="s">
        <v>15</v>
      </c>
      <c r="F489" t="s">
        <v>16</v>
      </c>
      <c r="G489" t="s">
        <v>39</v>
      </c>
      <c r="H489">
        <v>2</v>
      </c>
      <c r="I489">
        <v>43228</v>
      </c>
      <c r="J489">
        <v>27195.977187253498</v>
      </c>
      <c r="K489" t="str">
        <f>IF(AND(data_tab[[#This Row],[Revenue]]="",data_tab[[#This Row],[Cost]]=""),"Remove",IF(OR(data_tab[[#This Row],[Revenue]]="",data_tab[[#This Row],[Cost]]=""),"Flag","Valid"))</f>
        <v>Valid</v>
      </c>
      <c r="L489" t="str">
        <f>IF((COUNTIFS(data_tab[Revenue],data_tab[[#This Row],[Revenue]],data_tab[Cost],data_tab[[#This Row],[Cost]]))&gt;1,"Duplicate","Unique")</f>
        <v>Unique</v>
      </c>
      <c r="M489">
        <f>data_tab[[#This Row],[Revenue]]-data_tab[[#This Row],[Cost]]</f>
        <v>16032.022812746502</v>
      </c>
      <c r="N489" t="str">
        <f>IF(data_tab[[#This Row],[Revenue]]&lt;0,"Return","Sale")</f>
        <v>Sale</v>
      </c>
    </row>
    <row r="490" spans="1:14">
      <c r="A490" s="1">
        <v>46163</v>
      </c>
      <c r="B490">
        <f>MONTH(data_tab[[#This Row],[Order Date]])</f>
        <v>5</v>
      </c>
      <c r="C490">
        <f>YEAR(data_tab[[#This Row],[Order Date]])</f>
        <v>2026</v>
      </c>
      <c r="D490" t="s">
        <v>29</v>
      </c>
      <c r="E490" t="s">
        <v>15</v>
      </c>
      <c r="F490" t="s">
        <v>21</v>
      </c>
      <c r="G490" t="s">
        <v>39</v>
      </c>
      <c r="H490">
        <v>5</v>
      </c>
      <c r="I490">
        <v>117875</v>
      </c>
      <c r="J490">
        <v>83788.036380027799</v>
      </c>
      <c r="K490" t="str">
        <f>IF(AND(data_tab[[#This Row],[Revenue]]="",data_tab[[#This Row],[Cost]]=""),"Remove",IF(OR(data_tab[[#This Row],[Revenue]]="",data_tab[[#This Row],[Cost]]=""),"Flag","Valid"))</f>
        <v>Valid</v>
      </c>
      <c r="L490" t="str">
        <f>IF((COUNTIFS(data_tab[Revenue],data_tab[[#This Row],[Revenue]],data_tab[Cost],data_tab[[#This Row],[Cost]]))&gt;1,"Duplicate","Unique")</f>
        <v>Unique</v>
      </c>
      <c r="M490">
        <f>data_tab[[#This Row],[Revenue]]-data_tab[[#This Row],[Cost]]</f>
        <v>34086.963619972201</v>
      </c>
      <c r="N490" t="str">
        <f>IF(data_tab[[#This Row],[Revenue]]&lt;0,"Return","Sale")</f>
        <v>Sale</v>
      </c>
    </row>
    <row r="491" spans="1:14" hidden="1">
      <c r="A491" s="1">
        <v>46050</v>
      </c>
      <c r="B491">
        <f>MONTH(data_tab[[#This Row],[Order Date]])</f>
        <v>1</v>
      </c>
      <c r="C491">
        <f>YEAR(data_tab[[#This Row],[Order Date]])</f>
        <v>2026</v>
      </c>
      <c r="D491" t="s">
        <v>40</v>
      </c>
      <c r="E491" t="s">
        <v>15</v>
      </c>
      <c r="F491" t="s">
        <v>24</v>
      </c>
      <c r="G491" t="s">
        <v>33</v>
      </c>
      <c r="H491">
        <v>10</v>
      </c>
      <c r="I491">
        <v>483210</v>
      </c>
      <c r="J491">
        <v>297113.71082850202</v>
      </c>
      <c r="K491" t="str">
        <f>IF(AND(data_tab[[#This Row],[Revenue]]="",data_tab[[#This Row],[Cost]]=""),"Remove",IF(OR(data_tab[[#This Row],[Revenue]]="",data_tab[[#This Row],[Cost]]=""),"Flag","Valid"))</f>
        <v>Valid</v>
      </c>
      <c r="L491" t="str">
        <f>IF((COUNTIFS(data_tab[Revenue],data_tab[[#This Row],[Revenue]],data_tab[Cost],data_tab[[#This Row],[Cost]]))&gt;1,"Duplicate","Unique")</f>
        <v>Unique</v>
      </c>
      <c r="M491">
        <f>data_tab[[#This Row],[Revenue]]-data_tab[[#This Row],[Cost]]</f>
        <v>186096.28917149798</v>
      </c>
      <c r="N491" t="str">
        <f>IF(data_tab[[#This Row],[Revenue]]&lt;0,"Return","Sale")</f>
        <v>Sale</v>
      </c>
    </row>
    <row r="492" spans="1:14" hidden="1">
      <c r="A492" s="1">
        <v>46182</v>
      </c>
      <c r="B492">
        <f>MONTH(data_tab[[#This Row],[Order Date]])</f>
        <v>6</v>
      </c>
      <c r="C492">
        <f>YEAR(data_tab[[#This Row],[Order Date]])</f>
        <v>2026</v>
      </c>
      <c r="D492" t="s">
        <v>40</v>
      </c>
      <c r="E492" t="s">
        <v>15</v>
      </c>
      <c r="F492" t="s">
        <v>36</v>
      </c>
      <c r="G492" t="s">
        <v>26</v>
      </c>
      <c r="H492">
        <v>8</v>
      </c>
      <c r="I492">
        <v>274208</v>
      </c>
      <c r="J492">
        <v>225725.87141548301</v>
      </c>
      <c r="K492" t="str">
        <f>IF(AND(data_tab[[#This Row],[Revenue]]="",data_tab[[#This Row],[Cost]]=""),"Remove",IF(OR(data_tab[[#This Row],[Revenue]]="",data_tab[[#This Row],[Cost]]=""),"Flag","Valid"))</f>
        <v>Valid</v>
      </c>
      <c r="L492" t="str">
        <f>IF((COUNTIFS(data_tab[Revenue],data_tab[[#This Row],[Revenue]],data_tab[Cost],data_tab[[#This Row],[Cost]]))&gt;1,"Duplicate","Unique")</f>
        <v>Unique</v>
      </c>
      <c r="M492">
        <f>data_tab[[#This Row],[Revenue]]-data_tab[[#This Row],[Cost]]</f>
        <v>48482.128584516991</v>
      </c>
      <c r="N492" t="str">
        <f>IF(data_tab[[#This Row],[Revenue]]&lt;0,"Return","Sale")</f>
        <v>Sale</v>
      </c>
    </row>
    <row r="493" spans="1:14" hidden="1">
      <c r="A493" s="1">
        <v>46072</v>
      </c>
      <c r="B493">
        <f>MONTH(data_tab[[#This Row],[Order Date]])</f>
        <v>2</v>
      </c>
      <c r="C493">
        <f>YEAR(data_tab[[#This Row],[Order Date]])</f>
        <v>2026</v>
      </c>
      <c r="D493" t="s">
        <v>20</v>
      </c>
      <c r="E493" t="s">
        <v>15</v>
      </c>
      <c r="F493" t="s">
        <v>36</v>
      </c>
      <c r="G493" t="s">
        <v>41</v>
      </c>
      <c r="H493">
        <v>2</v>
      </c>
      <c r="I493">
        <v>31174</v>
      </c>
      <c r="J493">
        <v>25557.247634415598</v>
      </c>
      <c r="K493" t="str">
        <f>IF(AND(data_tab[[#This Row],[Revenue]]="",data_tab[[#This Row],[Cost]]=""),"Remove",IF(OR(data_tab[[#This Row],[Revenue]]="",data_tab[[#This Row],[Cost]]=""),"Flag","Valid"))</f>
        <v>Valid</v>
      </c>
      <c r="L493" t="str">
        <f>IF((COUNTIFS(data_tab[Revenue],data_tab[[#This Row],[Revenue]],data_tab[Cost],data_tab[[#This Row],[Cost]]))&gt;1,"Duplicate","Unique")</f>
        <v>Unique</v>
      </c>
      <c r="M493">
        <f>data_tab[[#This Row],[Revenue]]-data_tab[[#This Row],[Cost]]</f>
        <v>5616.7523655844016</v>
      </c>
      <c r="N493" t="str">
        <f>IF(data_tab[[#This Row],[Revenue]]&lt;0,"Return","Sale")</f>
        <v>Sale</v>
      </c>
    </row>
    <row r="494" spans="1:14">
      <c r="A494" s="1">
        <v>46166</v>
      </c>
      <c r="B494">
        <f>MONTH(data_tab[[#This Row],[Order Date]])</f>
        <v>5</v>
      </c>
      <c r="C494">
        <f>YEAR(data_tab[[#This Row],[Order Date]])</f>
        <v>2026</v>
      </c>
      <c r="D494" t="s">
        <v>14</v>
      </c>
      <c r="E494" t="s">
        <v>15</v>
      </c>
      <c r="F494" t="s">
        <v>21</v>
      </c>
      <c r="G494" t="s">
        <v>41</v>
      </c>
      <c r="H494">
        <v>5</v>
      </c>
      <c r="I494">
        <v>93365</v>
      </c>
      <c r="J494">
        <v>76193.141249294596</v>
      </c>
      <c r="K494" t="str">
        <f>IF(AND(data_tab[[#This Row],[Revenue]]="",data_tab[[#This Row],[Cost]]=""),"Remove",IF(OR(data_tab[[#This Row],[Revenue]]="",data_tab[[#This Row],[Cost]]=""),"Flag","Valid"))</f>
        <v>Valid</v>
      </c>
      <c r="L494" t="str">
        <f>IF((COUNTIFS(data_tab[Revenue],data_tab[[#This Row],[Revenue]],data_tab[Cost],data_tab[[#This Row],[Cost]]))&gt;1,"Duplicate","Unique")</f>
        <v>Unique</v>
      </c>
      <c r="M494">
        <f>data_tab[[#This Row],[Revenue]]-data_tab[[#This Row],[Cost]]</f>
        <v>17171.858750705404</v>
      </c>
      <c r="N494" t="str">
        <f>IF(data_tab[[#This Row],[Revenue]]&lt;0,"Return","Sale")</f>
        <v>Sale</v>
      </c>
    </row>
    <row r="495" spans="1:14" hidden="1">
      <c r="A495" s="1">
        <v>46054</v>
      </c>
      <c r="B495">
        <f>MONTH(data_tab[[#This Row],[Order Date]])</f>
        <v>2</v>
      </c>
      <c r="C495">
        <f>YEAR(data_tab[[#This Row],[Order Date]])</f>
        <v>2026</v>
      </c>
      <c r="D495" t="s">
        <v>35</v>
      </c>
      <c r="E495" t="s">
        <v>32</v>
      </c>
      <c r="F495" t="s">
        <v>16</v>
      </c>
      <c r="G495" t="s">
        <v>33</v>
      </c>
      <c r="H495">
        <v>10</v>
      </c>
      <c r="I495">
        <v>423690</v>
      </c>
      <c r="J495">
        <v>374561.08117257501</v>
      </c>
      <c r="K495" t="str">
        <f>IF(AND(data_tab[[#This Row],[Revenue]]="",data_tab[[#This Row],[Cost]]=""),"Remove",IF(OR(data_tab[[#This Row],[Revenue]]="",data_tab[[#This Row],[Cost]]=""),"Flag","Valid"))</f>
        <v>Valid</v>
      </c>
      <c r="L495" t="str">
        <f>IF((COUNTIFS(data_tab[Revenue],data_tab[[#This Row],[Revenue]],data_tab[Cost],data_tab[[#This Row],[Cost]]))&gt;1,"Duplicate","Unique")</f>
        <v>Unique</v>
      </c>
      <c r="M495">
        <f>data_tab[[#This Row],[Revenue]]-data_tab[[#This Row],[Cost]]</f>
        <v>49128.91882742499</v>
      </c>
      <c r="N495" t="str">
        <f>IF(data_tab[[#This Row],[Revenue]]&lt;0,"Return","Sale")</f>
        <v>Sale</v>
      </c>
    </row>
    <row r="496" spans="1:14" hidden="1">
      <c r="A496" s="1">
        <v>46195</v>
      </c>
      <c r="B496">
        <f>MONTH(data_tab[[#This Row],[Order Date]])</f>
        <v>6</v>
      </c>
      <c r="C496">
        <f>YEAR(data_tab[[#This Row],[Order Date]])</f>
        <v>2026</v>
      </c>
      <c r="D496" t="s">
        <v>20</v>
      </c>
      <c r="E496" t="s">
        <v>15</v>
      </c>
      <c r="F496" t="s">
        <v>21</v>
      </c>
      <c r="G496" t="s">
        <v>33</v>
      </c>
      <c r="H496">
        <v>3</v>
      </c>
      <c r="I496">
        <v>129312</v>
      </c>
      <c r="J496">
        <v>88481.370633774495</v>
      </c>
      <c r="K496" t="str">
        <f>IF(AND(data_tab[[#This Row],[Revenue]]="",data_tab[[#This Row],[Cost]]=""),"Remove",IF(OR(data_tab[[#This Row],[Revenue]]="",data_tab[[#This Row],[Cost]]=""),"Flag","Valid"))</f>
        <v>Valid</v>
      </c>
      <c r="L496" t="str">
        <f>IF((COUNTIFS(data_tab[Revenue],data_tab[[#This Row],[Revenue]],data_tab[Cost],data_tab[[#This Row],[Cost]]))&gt;1,"Duplicate","Unique")</f>
        <v>Unique</v>
      </c>
      <c r="M496">
        <f>data_tab[[#This Row],[Revenue]]-data_tab[[#This Row],[Cost]]</f>
        <v>40830.629366225505</v>
      </c>
      <c r="N496" t="str">
        <f>IF(data_tab[[#This Row],[Revenue]]&lt;0,"Return","Sale")</f>
        <v>Sale</v>
      </c>
    </row>
    <row r="497" spans="1:14" hidden="1">
      <c r="A497" s="1">
        <v>46128</v>
      </c>
      <c r="B497">
        <f>MONTH(data_tab[[#This Row],[Order Date]])</f>
        <v>4</v>
      </c>
      <c r="C497">
        <f>YEAR(data_tab[[#This Row],[Order Date]])</f>
        <v>2026</v>
      </c>
      <c r="D497" t="s">
        <v>40</v>
      </c>
      <c r="E497" t="s">
        <v>15</v>
      </c>
      <c r="F497" t="s">
        <v>16</v>
      </c>
      <c r="G497" t="s">
        <v>26</v>
      </c>
      <c r="H497">
        <v>6</v>
      </c>
      <c r="I497">
        <v>230304</v>
      </c>
      <c r="J497">
        <v>164518.627439662</v>
      </c>
      <c r="K497" t="str">
        <f>IF(AND(data_tab[[#This Row],[Revenue]]="",data_tab[[#This Row],[Cost]]=""),"Remove",IF(OR(data_tab[[#This Row],[Revenue]]="",data_tab[[#This Row],[Cost]]=""),"Flag","Valid"))</f>
        <v>Valid</v>
      </c>
      <c r="L497" t="str">
        <f>IF((COUNTIFS(data_tab[Revenue],data_tab[[#This Row],[Revenue]],data_tab[Cost],data_tab[[#This Row],[Cost]]))&gt;1,"Duplicate","Unique")</f>
        <v>Unique</v>
      </c>
      <c r="M497">
        <f>data_tab[[#This Row],[Revenue]]-data_tab[[#This Row],[Cost]]</f>
        <v>65785.372560338001</v>
      </c>
      <c r="N497" t="str">
        <f>IF(data_tab[[#This Row],[Revenue]]&lt;0,"Return","Sale")</f>
        <v>Sale</v>
      </c>
    </row>
    <row r="498" spans="1:14" hidden="1">
      <c r="A498" s="1">
        <v>46026</v>
      </c>
      <c r="B498">
        <f>MONTH(data_tab[[#This Row],[Order Date]])</f>
        <v>1</v>
      </c>
      <c r="C498">
        <f>YEAR(data_tab[[#This Row],[Order Date]])</f>
        <v>2026</v>
      </c>
      <c r="D498" t="s">
        <v>31</v>
      </c>
      <c r="E498" t="s">
        <v>32</v>
      </c>
      <c r="F498" t="s">
        <v>16</v>
      </c>
      <c r="G498" t="s">
        <v>39</v>
      </c>
      <c r="H498">
        <v>6</v>
      </c>
      <c r="I498">
        <v>159546</v>
      </c>
      <c r="J498">
        <v>119755.91987744901</v>
      </c>
      <c r="K498" t="str">
        <f>IF(AND(data_tab[[#This Row],[Revenue]]="",data_tab[[#This Row],[Cost]]=""),"Remove",IF(OR(data_tab[[#This Row],[Revenue]]="",data_tab[[#This Row],[Cost]]=""),"Flag","Valid"))</f>
        <v>Valid</v>
      </c>
      <c r="L498" t="str">
        <f>IF((COUNTIFS(data_tab[Revenue],data_tab[[#This Row],[Revenue]],data_tab[Cost],data_tab[[#This Row],[Cost]]))&gt;1,"Duplicate","Unique")</f>
        <v>Unique</v>
      </c>
      <c r="M498">
        <f>data_tab[[#This Row],[Revenue]]-data_tab[[#This Row],[Cost]]</f>
        <v>39790.080122550993</v>
      </c>
      <c r="N498" t="str">
        <f>IF(data_tab[[#This Row],[Revenue]]&lt;0,"Return","Sale")</f>
        <v>Sale</v>
      </c>
    </row>
    <row r="499" spans="1:14" hidden="1">
      <c r="A499" s="1">
        <v>46059</v>
      </c>
      <c r="B499">
        <f>MONTH(data_tab[[#This Row],[Order Date]])</f>
        <v>2</v>
      </c>
      <c r="C499">
        <f>YEAR(data_tab[[#This Row],[Order Date]])</f>
        <v>2026</v>
      </c>
      <c r="D499" t="s">
        <v>23</v>
      </c>
      <c r="E499" t="s">
        <v>15</v>
      </c>
      <c r="F499" t="s">
        <v>16</v>
      </c>
      <c r="G499" t="s">
        <v>41</v>
      </c>
      <c r="H499">
        <v>6</v>
      </c>
      <c r="I499">
        <v>291120</v>
      </c>
      <c r="J499">
        <v>149243.042478794</v>
      </c>
      <c r="K499" t="str">
        <f>IF(AND(data_tab[[#This Row],[Revenue]]="",data_tab[[#This Row],[Cost]]=""),"Remove",IF(OR(data_tab[[#This Row],[Revenue]]="",data_tab[[#This Row],[Cost]]=""),"Flag","Valid"))</f>
        <v>Valid</v>
      </c>
      <c r="L499" t="str">
        <f>IF((COUNTIFS(data_tab[Revenue],data_tab[[#This Row],[Revenue]],data_tab[Cost],data_tab[[#This Row],[Cost]]))&gt;1,"Duplicate","Unique")</f>
        <v>Unique</v>
      </c>
      <c r="M499">
        <f>data_tab[[#This Row],[Revenue]]-data_tab[[#This Row],[Cost]]</f>
        <v>141876.957521206</v>
      </c>
      <c r="N499" t="str">
        <f>IF(data_tab[[#This Row],[Revenue]]&lt;0,"Return","Sale")</f>
        <v>Sale</v>
      </c>
    </row>
    <row r="500" spans="1:14" hidden="1">
      <c r="A500" s="1">
        <v>46138</v>
      </c>
      <c r="B500">
        <f>MONTH(data_tab[[#This Row],[Order Date]])</f>
        <v>4</v>
      </c>
      <c r="C500">
        <f>YEAR(data_tab[[#This Row],[Order Date]])</f>
        <v>2026</v>
      </c>
      <c r="D500" t="s">
        <v>40</v>
      </c>
      <c r="E500" t="s">
        <v>15</v>
      </c>
      <c r="F500" t="s">
        <v>16</v>
      </c>
      <c r="G500" t="s">
        <v>17</v>
      </c>
      <c r="H500">
        <v>2</v>
      </c>
      <c r="I500">
        <v>53048</v>
      </c>
      <c r="J500">
        <v>43179.883369111201</v>
      </c>
      <c r="K500" t="str">
        <f>IF(AND(data_tab[[#This Row],[Revenue]]="",data_tab[[#This Row],[Cost]]=""),"Remove",IF(OR(data_tab[[#This Row],[Revenue]]="",data_tab[[#This Row],[Cost]]=""),"Flag","Valid"))</f>
        <v>Valid</v>
      </c>
      <c r="L500" t="str">
        <f>IF((COUNTIFS(data_tab[Revenue],data_tab[[#This Row],[Revenue]],data_tab[Cost],data_tab[[#This Row],[Cost]]))&gt;1,"Duplicate","Unique")</f>
        <v>Unique</v>
      </c>
      <c r="M500">
        <f>data_tab[[#This Row],[Revenue]]-data_tab[[#This Row],[Cost]]</f>
        <v>9868.1166308887987</v>
      </c>
      <c r="N500" t="str">
        <f>IF(data_tab[[#This Row],[Revenue]]&lt;0,"Return","Sale")</f>
        <v>Sale</v>
      </c>
    </row>
    <row r="501" spans="1:14" hidden="1">
      <c r="A501" s="1">
        <v>46029</v>
      </c>
      <c r="B501">
        <f>MONTH(data_tab[[#This Row],[Order Date]])</f>
        <v>1</v>
      </c>
      <c r="C501">
        <f>YEAR(data_tab[[#This Row],[Order Date]])</f>
        <v>2026</v>
      </c>
      <c r="D501" t="s">
        <v>31</v>
      </c>
      <c r="E501" t="s">
        <v>32</v>
      </c>
      <c r="F501" t="s">
        <v>21</v>
      </c>
      <c r="G501" t="s">
        <v>37</v>
      </c>
      <c r="H501">
        <v>8</v>
      </c>
      <c r="I501">
        <v>290528</v>
      </c>
      <c r="J501">
        <v>181331.15799341799</v>
      </c>
      <c r="K501" t="str">
        <f>IF(AND(data_tab[[#This Row],[Revenue]]="",data_tab[[#This Row],[Cost]]=""),"Remove",IF(OR(data_tab[[#This Row],[Revenue]]="",data_tab[[#This Row],[Cost]]=""),"Flag","Valid"))</f>
        <v>Valid</v>
      </c>
      <c r="L501" t="str">
        <f>IF((COUNTIFS(data_tab[Revenue],data_tab[[#This Row],[Revenue]],data_tab[Cost],data_tab[[#This Row],[Cost]]))&gt;1,"Duplicate","Unique")</f>
        <v>Duplicate</v>
      </c>
      <c r="M501">
        <f>data_tab[[#This Row],[Revenue]]-data_tab[[#This Row],[Cost]]</f>
        <v>109196.84200658201</v>
      </c>
      <c r="N501" t="str">
        <f>IF(data_tab[[#This Row],[Revenue]]&lt;0,"Return","Sale")</f>
        <v>Sale</v>
      </c>
    </row>
    <row r="502" spans="1:14">
      <c r="A502" s="1">
        <v>46155</v>
      </c>
      <c r="B502">
        <f>MONTH(data_tab[[#This Row],[Order Date]])</f>
        <v>5</v>
      </c>
      <c r="C502">
        <f>YEAR(data_tab[[#This Row],[Order Date]])</f>
        <v>2026</v>
      </c>
      <c r="D502" t="s">
        <v>14</v>
      </c>
      <c r="E502" t="s">
        <v>15</v>
      </c>
      <c r="F502" t="s">
        <v>24</v>
      </c>
      <c r="G502" t="s">
        <v>33</v>
      </c>
      <c r="H502">
        <v>7</v>
      </c>
      <c r="I502">
        <v>341397</v>
      </c>
      <c r="J502">
        <v>288795.943472585</v>
      </c>
      <c r="K502" t="str">
        <f>IF(AND(data_tab[[#This Row],[Revenue]]="",data_tab[[#This Row],[Cost]]=""),"Remove",IF(OR(data_tab[[#This Row],[Revenue]]="",data_tab[[#This Row],[Cost]]=""),"Flag","Valid"))</f>
        <v>Valid</v>
      </c>
      <c r="L502" t="str">
        <f>IF((COUNTIFS(data_tab[Revenue],data_tab[[#This Row],[Revenue]],data_tab[Cost],data_tab[[#This Row],[Cost]]))&gt;1,"Duplicate","Unique")</f>
        <v>Unique</v>
      </c>
      <c r="M502">
        <f>data_tab[[#This Row],[Revenue]]-data_tab[[#This Row],[Cost]]</f>
        <v>52601.056527414999</v>
      </c>
      <c r="N502" t="str">
        <f>IF(data_tab[[#This Row],[Revenue]]&lt;0,"Return","Sale")</f>
        <v>Sale</v>
      </c>
    </row>
    <row r="503" spans="1:14" hidden="1">
      <c r="A503" s="1">
        <v>46175</v>
      </c>
      <c r="B503">
        <f>MONTH(data_tab[[#This Row],[Order Date]])</f>
        <v>6</v>
      </c>
      <c r="C503">
        <f>YEAR(data_tab[[#This Row],[Order Date]])</f>
        <v>2026</v>
      </c>
      <c r="D503" t="s">
        <v>20</v>
      </c>
      <c r="E503" t="s">
        <v>15</v>
      </c>
      <c r="F503" t="s">
        <v>24</v>
      </c>
      <c r="G503" t="s">
        <v>26</v>
      </c>
      <c r="H503">
        <v>5</v>
      </c>
      <c r="I503">
        <v>17365</v>
      </c>
      <c r="J503">
        <v>12694.230609808101</v>
      </c>
      <c r="K503" t="str">
        <f>IF(AND(data_tab[[#This Row],[Revenue]]="",data_tab[[#This Row],[Cost]]=""),"Remove",IF(OR(data_tab[[#This Row],[Revenue]]="",data_tab[[#This Row],[Cost]]=""),"Flag","Valid"))</f>
        <v>Valid</v>
      </c>
      <c r="L503" t="str">
        <f>IF((COUNTIFS(data_tab[Revenue],data_tab[[#This Row],[Revenue]],data_tab[Cost],data_tab[[#This Row],[Cost]]))&gt;1,"Duplicate","Unique")</f>
        <v>Unique</v>
      </c>
      <c r="M503">
        <f>data_tab[[#This Row],[Revenue]]-data_tab[[#This Row],[Cost]]</f>
        <v>4670.7693901918992</v>
      </c>
      <c r="N503" t="str">
        <f>IF(data_tab[[#This Row],[Revenue]]&lt;0,"Return","Sale")</f>
        <v>Sale</v>
      </c>
    </row>
    <row r="504" spans="1:14" hidden="1">
      <c r="A504" s="1">
        <v>46072</v>
      </c>
      <c r="B504">
        <f>MONTH(data_tab[[#This Row],[Order Date]])</f>
        <v>2</v>
      </c>
      <c r="C504">
        <f>YEAR(data_tab[[#This Row],[Order Date]])</f>
        <v>2026</v>
      </c>
      <c r="D504" t="s">
        <v>23</v>
      </c>
      <c r="E504" t="s">
        <v>15</v>
      </c>
      <c r="F504" t="s">
        <v>36</v>
      </c>
      <c r="G504" t="s">
        <v>41</v>
      </c>
      <c r="H504">
        <v>2</v>
      </c>
      <c r="I504">
        <v>39736</v>
      </c>
      <c r="K504" t="str">
        <f>IF(AND(data_tab[[#This Row],[Revenue]]="",data_tab[[#This Row],[Cost]]=""),"Remove",IF(OR(data_tab[[#This Row],[Revenue]]="",data_tab[[#This Row],[Cost]]=""),"Flag","Valid"))</f>
        <v>Flag</v>
      </c>
      <c r="L504" t="str">
        <f>IF((COUNTIFS(data_tab[Revenue],data_tab[[#This Row],[Revenue]],data_tab[Cost],data_tab[[#This Row],[Cost]]))&gt;1,"Duplicate","Unique")</f>
        <v>Unique</v>
      </c>
      <c r="M504">
        <f>data_tab[[#This Row],[Revenue]]-data_tab[[#This Row],[Cost]]</f>
        <v>39736</v>
      </c>
      <c r="N504" t="str">
        <f>IF(data_tab[[#This Row],[Revenue]]&lt;0,"Return","Sale")</f>
        <v>Sale</v>
      </c>
    </row>
    <row r="505" spans="1:14" hidden="1">
      <c r="A505" s="1">
        <v>46361</v>
      </c>
      <c r="B505">
        <f>MONTH(data_tab[[#This Row],[Order Date]])</f>
        <v>12</v>
      </c>
      <c r="C505">
        <f>YEAR(data_tab[[#This Row],[Order Date]])</f>
        <v>2026</v>
      </c>
      <c r="D505" t="s">
        <v>40</v>
      </c>
      <c r="E505" t="s">
        <v>15</v>
      </c>
      <c r="F505" t="s">
        <v>16</v>
      </c>
      <c r="G505" t="s">
        <v>26</v>
      </c>
      <c r="H505">
        <v>6</v>
      </c>
      <c r="I505">
        <v>118578</v>
      </c>
      <c r="J505">
        <v>66003.210257774495</v>
      </c>
      <c r="K505" t="str">
        <f>IF(AND(data_tab[[#This Row],[Revenue]]="",data_tab[[#This Row],[Cost]]=""),"Remove",IF(OR(data_tab[[#This Row],[Revenue]]="",data_tab[[#This Row],[Cost]]=""),"Flag","Valid"))</f>
        <v>Valid</v>
      </c>
      <c r="L505" t="str">
        <f>IF((COUNTIFS(data_tab[Revenue],data_tab[[#This Row],[Revenue]],data_tab[Cost],data_tab[[#This Row],[Cost]]))&gt;1,"Duplicate","Unique")</f>
        <v>Unique</v>
      </c>
      <c r="M505">
        <f>data_tab[[#This Row],[Revenue]]-data_tab[[#This Row],[Cost]]</f>
        <v>52574.789742225505</v>
      </c>
      <c r="N505" t="str">
        <f>IF(data_tab[[#This Row],[Revenue]]&lt;0,"Return","Sale")</f>
        <v>Sale</v>
      </c>
    </row>
    <row r="506" spans="1:14" hidden="1">
      <c r="A506" s="1">
        <v>46041</v>
      </c>
      <c r="B506">
        <f>MONTH(data_tab[[#This Row],[Order Date]])</f>
        <v>1</v>
      </c>
      <c r="C506">
        <f>YEAR(data_tab[[#This Row],[Order Date]])</f>
        <v>2026</v>
      </c>
      <c r="D506" t="s">
        <v>40</v>
      </c>
      <c r="E506" t="s">
        <v>15</v>
      </c>
      <c r="F506" t="s">
        <v>36</v>
      </c>
      <c r="G506" t="s">
        <v>39</v>
      </c>
      <c r="H506">
        <v>3</v>
      </c>
      <c r="I506">
        <v>11700</v>
      </c>
      <c r="J506">
        <v>8053.04250976002</v>
      </c>
      <c r="K506" t="str">
        <f>IF(AND(data_tab[[#This Row],[Revenue]]="",data_tab[[#This Row],[Cost]]=""),"Remove",IF(OR(data_tab[[#This Row],[Revenue]]="",data_tab[[#This Row],[Cost]]=""),"Flag","Valid"))</f>
        <v>Valid</v>
      </c>
      <c r="L506" t="str">
        <f>IF((COUNTIFS(data_tab[Revenue],data_tab[[#This Row],[Revenue]],data_tab[Cost],data_tab[[#This Row],[Cost]]))&gt;1,"Duplicate","Unique")</f>
        <v>Unique</v>
      </c>
      <c r="M506">
        <f>data_tab[[#This Row],[Revenue]]-data_tab[[#This Row],[Cost]]</f>
        <v>3646.95749023998</v>
      </c>
      <c r="N506" t="str">
        <f>IF(data_tab[[#This Row],[Revenue]]&lt;0,"Return","Sale")</f>
        <v>Sale</v>
      </c>
    </row>
    <row r="507" spans="1:14" hidden="1">
      <c r="A507" s="1">
        <v>46132</v>
      </c>
      <c r="B507">
        <f>MONTH(data_tab[[#This Row],[Order Date]])</f>
        <v>4</v>
      </c>
      <c r="C507">
        <f>YEAR(data_tab[[#This Row],[Order Date]])</f>
        <v>2026</v>
      </c>
      <c r="D507" t="s">
        <v>40</v>
      </c>
      <c r="E507" t="s">
        <v>15</v>
      </c>
      <c r="F507" t="s">
        <v>36</v>
      </c>
      <c r="G507" t="s">
        <v>26</v>
      </c>
      <c r="H507">
        <v>6</v>
      </c>
      <c r="I507">
        <v>134856</v>
      </c>
      <c r="J507">
        <v>85354.790835514505</v>
      </c>
      <c r="K507" t="str">
        <f>IF(AND(data_tab[[#This Row],[Revenue]]="",data_tab[[#This Row],[Cost]]=""),"Remove",IF(OR(data_tab[[#This Row],[Revenue]]="",data_tab[[#This Row],[Cost]]=""),"Flag","Valid"))</f>
        <v>Valid</v>
      </c>
      <c r="L507" t="str">
        <f>IF((COUNTIFS(data_tab[Revenue],data_tab[[#This Row],[Revenue]],data_tab[Cost],data_tab[[#This Row],[Cost]]))&gt;1,"Duplicate","Unique")</f>
        <v>Unique</v>
      </c>
      <c r="M507">
        <f>data_tab[[#This Row],[Revenue]]-data_tab[[#This Row],[Cost]]</f>
        <v>49501.209164485495</v>
      </c>
      <c r="N507" t="str">
        <f>IF(data_tab[[#This Row],[Revenue]]&lt;0,"Return","Sale")</f>
        <v>Sale</v>
      </c>
    </row>
    <row r="508" spans="1:14" hidden="1">
      <c r="A508" s="1">
        <v>46043</v>
      </c>
      <c r="B508">
        <f>MONTH(data_tab[[#This Row],[Order Date]])</f>
        <v>1</v>
      </c>
      <c r="C508">
        <f>YEAR(data_tab[[#This Row],[Order Date]])</f>
        <v>2026</v>
      </c>
      <c r="D508" t="s">
        <v>29</v>
      </c>
      <c r="E508" t="s">
        <v>15</v>
      </c>
      <c r="F508" t="s">
        <v>21</v>
      </c>
      <c r="G508" t="s">
        <v>39</v>
      </c>
      <c r="H508">
        <v>8</v>
      </c>
      <c r="I508">
        <v>66992</v>
      </c>
      <c r="J508">
        <v>45704.197906666202</v>
      </c>
      <c r="K508" t="str">
        <f>IF(AND(data_tab[[#This Row],[Revenue]]="",data_tab[[#This Row],[Cost]]=""),"Remove",IF(OR(data_tab[[#This Row],[Revenue]]="",data_tab[[#This Row],[Cost]]=""),"Flag","Valid"))</f>
        <v>Valid</v>
      </c>
      <c r="L508" t="str">
        <f>IF((COUNTIFS(data_tab[Revenue],data_tab[[#This Row],[Revenue]],data_tab[Cost],data_tab[[#This Row],[Cost]]))&gt;1,"Duplicate","Unique")</f>
        <v>Unique</v>
      </c>
      <c r="M508">
        <f>data_tab[[#This Row],[Revenue]]-data_tab[[#This Row],[Cost]]</f>
        <v>21287.802093333798</v>
      </c>
      <c r="N508" t="str">
        <f>IF(data_tab[[#This Row],[Revenue]]&lt;0,"Return","Sale")</f>
        <v>Sale</v>
      </c>
    </row>
    <row r="509" spans="1:14" hidden="1">
      <c r="A509" s="1">
        <v>46082</v>
      </c>
      <c r="B509">
        <f>MONTH(data_tab[[#This Row],[Order Date]])</f>
        <v>3</v>
      </c>
      <c r="C509">
        <f>YEAR(data_tab[[#This Row],[Order Date]])</f>
        <v>2026</v>
      </c>
      <c r="D509" t="s">
        <v>40</v>
      </c>
      <c r="E509" t="s">
        <v>15</v>
      </c>
      <c r="F509" t="s">
        <v>16</v>
      </c>
      <c r="G509" t="s">
        <v>37</v>
      </c>
      <c r="H509">
        <v>7</v>
      </c>
      <c r="I509">
        <v>98112</v>
      </c>
      <c r="J509">
        <v>76512.235881455606</v>
      </c>
      <c r="K509" t="str">
        <f>IF(AND(data_tab[[#This Row],[Revenue]]="",data_tab[[#This Row],[Cost]]=""),"Remove",IF(OR(data_tab[[#This Row],[Revenue]]="",data_tab[[#This Row],[Cost]]=""),"Flag","Valid"))</f>
        <v>Valid</v>
      </c>
      <c r="L509" t="str">
        <f>IF((COUNTIFS(data_tab[Revenue],data_tab[[#This Row],[Revenue]],data_tab[Cost],data_tab[[#This Row],[Cost]]))&gt;1,"Duplicate","Unique")</f>
        <v>Unique</v>
      </c>
      <c r="M509">
        <f>data_tab[[#This Row],[Revenue]]-data_tab[[#This Row],[Cost]]</f>
        <v>21599.764118544394</v>
      </c>
      <c r="N509" t="str">
        <f>IF(data_tab[[#This Row],[Revenue]]&lt;0,"Return","Sale")</f>
        <v>Sale</v>
      </c>
    </row>
    <row r="510" spans="1:14" hidden="1">
      <c r="A510" s="1">
        <v>46139</v>
      </c>
      <c r="B510">
        <f>MONTH(data_tab[[#This Row],[Order Date]])</f>
        <v>4</v>
      </c>
      <c r="C510">
        <f>YEAR(data_tab[[#This Row],[Order Date]])</f>
        <v>2026</v>
      </c>
      <c r="D510" t="s">
        <v>20</v>
      </c>
      <c r="E510" t="s">
        <v>15</v>
      </c>
      <c r="F510" t="s">
        <v>16</v>
      </c>
      <c r="G510" t="s">
        <v>33</v>
      </c>
      <c r="H510">
        <v>8</v>
      </c>
      <c r="I510">
        <v>105544</v>
      </c>
      <c r="J510">
        <v>64688.228698192797</v>
      </c>
      <c r="K510" t="str">
        <f>IF(AND(data_tab[[#This Row],[Revenue]]="",data_tab[[#This Row],[Cost]]=""),"Remove",IF(OR(data_tab[[#This Row],[Revenue]]="",data_tab[[#This Row],[Cost]]=""),"Flag","Valid"))</f>
        <v>Valid</v>
      </c>
      <c r="L510" t="str">
        <f>IF((COUNTIFS(data_tab[Revenue],data_tab[[#This Row],[Revenue]],data_tab[Cost],data_tab[[#This Row],[Cost]]))&gt;1,"Duplicate","Unique")</f>
        <v>Unique</v>
      </c>
      <c r="M510">
        <f>data_tab[[#This Row],[Revenue]]-data_tab[[#This Row],[Cost]]</f>
        <v>40855.771301807203</v>
      </c>
      <c r="N510" t="str">
        <f>IF(data_tab[[#This Row],[Revenue]]&lt;0,"Return","Sale")</f>
        <v>Sale</v>
      </c>
    </row>
    <row r="511" spans="1:14" hidden="1">
      <c r="A511" s="1">
        <v>46126</v>
      </c>
      <c r="B511">
        <f>MONTH(data_tab[[#This Row],[Order Date]])</f>
        <v>4</v>
      </c>
      <c r="C511">
        <f>YEAR(data_tab[[#This Row],[Order Date]])</f>
        <v>2026</v>
      </c>
      <c r="D511" t="s">
        <v>35</v>
      </c>
      <c r="E511" t="s">
        <v>32</v>
      </c>
      <c r="F511" t="s">
        <v>24</v>
      </c>
      <c r="G511" t="s">
        <v>37</v>
      </c>
      <c r="H511">
        <v>9</v>
      </c>
      <c r="I511">
        <v>289890</v>
      </c>
      <c r="J511">
        <v>191422.07515010299</v>
      </c>
      <c r="K511" t="str">
        <f>IF(AND(data_tab[[#This Row],[Revenue]]="",data_tab[[#This Row],[Cost]]=""),"Remove",IF(OR(data_tab[[#This Row],[Revenue]]="",data_tab[[#This Row],[Cost]]=""),"Flag","Valid"))</f>
        <v>Valid</v>
      </c>
      <c r="L511" t="str">
        <f>IF((COUNTIFS(data_tab[Revenue],data_tab[[#This Row],[Revenue]],data_tab[Cost],data_tab[[#This Row],[Cost]]))&gt;1,"Duplicate","Unique")</f>
        <v>Unique</v>
      </c>
      <c r="M511">
        <f>data_tab[[#This Row],[Revenue]]-data_tab[[#This Row],[Cost]]</f>
        <v>98467.924849897012</v>
      </c>
      <c r="N511" t="str">
        <f>IF(data_tab[[#This Row],[Revenue]]&lt;0,"Return","Sale")</f>
        <v>Sale</v>
      </c>
    </row>
    <row r="512" spans="1:14">
      <c r="A512" s="1">
        <v>46146</v>
      </c>
      <c r="B512">
        <f>MONTH(data_tab[[#This Row],[Order Date]])</f>
        <v>5</v>
      </c>
      <c r="C512">
        <f>YEAR(data_tab[[#This Row],[Order Date]])</f>
        <v>2026</v>
      </c>
      <c r="D512" t="s">
        <v>23</v>
      </c>
      <c r="E512" t="s">
        <v>15</v>
      </c>
      <c r="F512" t="s">
        <v>36</v>
      </c>
      <c r="G512" t="s">
        <v>33</v>
      </c>
      <c r="H512">
        <v>10</v>
      </c>
      <c r="I512">
        <v>244260</v>
      </c>
      <c r="J512">
        <v>175332.454302158</v>
      </c>
      <c r="K512" t="str">
        <f>IF(AND(data_tab[[#This Row],[Revenue]]="",data_tab[[#This Row],[Cost]]=""),"Remove",IF(OR(data_tab[[#This Row],[Revenue]]="",data_tab[[#This Row],[Cost]]=""),"Flag","Valid"))</f>
        <v>Valid</v>
      </c>
      <c r="L512" t="str">
        <f>IF((COUNTIFS(data_tab[Revenue],data_tab[[#This Row],[Revenue]],data_tab[Cost],data_tab[[#This Row],[Cost]]))&gt;1,"Duplicate","Unique")</f>
        <v>Unique</v>
      </c>
      <c r="M512">
        <f>data_tab[[#This Row],[Revenue]]-data_tab[[#This Row],[Cost]]</f>
        <v>68927.545697841997</v>
      </c>
      <c r="N512" t="str">
        <f>IF(data_tab[[#This Row],[Revenue]]&lt;0,"Return","Sale")</f>
        <v>Sale</v>
      </c>
    </row>
    <row r="513" spans="1:14">
      <c r="A513" s="1">
        <v>46169</v>
      </c>
      <c r="B513">
        <f>MONTH(data_tab[[#This Row],[Order Date]])</f>
        <v>5</v>
      </c>
      <c r="C513">
        <f>YEAR(data_tab[[#This Row],[Order Date]])</f>
        <v>2026</v>
      </c>
      <c r="D513" t="s">
        <v>40</v>
      </c>
      <c r="E513" t="s">
        <v>15</v>
      </c>
      <c r="F513" t="s">
        <v>36</v>
      </c>
      <c r="G513" t="s">
        <v>37</v>
      </c>
      <c r="H513">
        <v>9</v>
      </c>
      <c r="I513">
        <v>75591</v>
      </c>
      <c r="J513">
        <v>62650.517818988301</v>
      </c>
      <c r="K513" t="str">
        <f>IF(AND(data_tab[[#This Row],[Revenue]]="",data_tab[[#This Row],[Cost]]=""),"Remove",IF(OR(data_tab[[#This Row],[Revenue]]="",data_tab[[#This Row],[Cost]]=""),"Flag","Valid"))</f>
        <v>Valid</v>
      </c>
      <c r="L513" t="str">
        <f>IF((COUNTIFS(data_tab[Revenue],data_tab[[#This Row],[Revenue]],data_tab[Cost],data_tab[[#This Row],[Cost]]))&gt;1,"Duplicate","Unique")</f>
        <v>Unique</v>
      </c>
      <c r="M513">
        <f>data_tab[[#This Row],[Revenue]]-data_tab[[#This Row],[Cost]]</f>
        <v>12940.482181011699</v>
      </c>
      <c r="N513" t="str">
        <f>IF(data_tab[[#This Row],[Revenue]]&lt;0,"Return","Sale")</f>
        <v>Sale</v>
      </c>
    </row>
    <row r="514" spans="1:14" hidden="1">
      <c r="A514" s="1">
        <v>46050</v>
      </c>
      <c r="B514">
        <f>MONTH(data_tab[[#This Row],[Order Date]])</f>
        <v>1</v>
      </c>
      <c r="C514">
        <f>YEAR(data_tab[[#This Row],[Order Date]])</f>
        <v>2026</v>
      </c>
      <c r="D514" t="s">
        <v>23</v>
      </c>
      <c r="E514" t="s">
        <v>15</v>
      </c>
      <c r="F514" t="s">
        <v>36</v>
      </c>
      <c r="G514" t="s">
        <v>37</v>
      </c>
      <c r="H514">
        <v>8</v>
      </c>
      <c r="I514">
        <v>354160</v>
      </c>
      <c r="J514">
        <v>270601.58042196702</v>
      </c>
      <c r="K514" t="str">
        <f>IF(AND(data_tab[[#This Row],[Revenue]]="",data_tab[[#This Row],[Cost]]=""),"Remove",IF(OR(data_tab[[#This Row],[Revenue]]="",data_tab[[#This Row],[Cost]]=""),"Flag","Valid"))</f>
        <v>Valid</v>
      </c>
      <c r="L514" t="str">
        <f>IF((COUNTIFS(data_tab[Revenue],data_tab[[#This Row],[Revenue]],data_tab[Cost],data_tab[[#This Row],[Cost]]))&gt;1,"Duplicate","Unique")</f>
        <v>Unique</v>
      </c>
      <c r="M514">
        <f>data_tab[[#This Row],[Revenue]]-data_tab[[#This Row],[Cost]]</f>
        <v>83558.419578032976</v>
      </c>
      <c r="N514" t="str">
        <f>IF(data_tab[[#This Row],[Revenue]]&lt;0,"Return","Sale")</f>
        <v>Sale</v>
      </c>
    </row>
    <row r="515" spans="1:14" hidden="1">
      <c r="A515" s="1">
        <v>46185</v>
      </c>
      <c r="B515">
        <f>MONTH(data_tab[[#This Row],[Order Date]])</f>
        <v>6</v>
      </c>
      <c r="C515">
        <f>YEAR(data_tab[[#This Row],[Order Date]])</f>
        <v>2026</v>
      </c>
      <c r="D515" t="s">
        <v>14</v>
      </c>
      <c r="E515" t="s">
        <v>15</v>
      </c>
      <c r="F515" t="s">
        <v>21</v>
      </c>
      <c r="G515" t="s">
        <v>33</v>
      </c>
      <c r="H515">
        <v>9</v>
      </c>
      <c r="I515">
        <v>189927</v>
      </c>
      <c r="J515">
        <v>124590.79468386099</v>
      </c>
      <c r="K515" t="str">
        <f>IF(AND(data_tab[[#This Row],[Revenue]]="",data_tab[[#This Row],[Cost]]=""),"Remove",IF(OR(data_tab[[#This Row],[Revenue]]="",data_tab[[#This Row],[Cost]]=""),"Flag","Valid"))</f>
        <v>Valid</v>
      </c>
      <c r="L515" t="str">
        <f>IF((COUNTIFS(data_tab[Revenue],data_tab[[#This Row],[Revenue]],data_tab[Cost],data_tab[[#This Row],[Cost]]))&gt;1,"Duplicate","Unique")</f>
        <v>Duplicate</v>
      </c>
      <c r="M515">
        <f>data_tab[[#This Row],[Revenue]]-data_tab[[#This Row],[Cost]]</f>
        <v>65336.205316139007</v>
      </c>
      <c r="N515" t="str">
        <f>IF(data_tab[[#This Row],[Revenue]]&lt;0,"Return","Sale")</f>
        <v>Sale</v>
      </c>
    </row>
    <row r="516" spans="1:14" hidden="1">
      <c r="A516" s="1">
        <v>46104</v>
      </c>
      <c r="B516">
        <f>MONTH(data_tab[[#This Row],[Order Date]])</f>
        <v>3</v>
      </c>
      <c r="C516">
        <f>YEAR(data_tab[[#This Row],[Order Date]])</f>
        <v>2026</v>
      </c>
      <c r="D516" t="s">
        <v>14</v>
      </c>
      <c r="E516" t="s">
        <v>15</v>
      </c>
      <c r="F516" t="s">
        <v>16</v>
      </c>
      <c r="G516" t="s">
        <v>33</v>
      </c>
      <c r="H516">
        <v>6</v>
      </c>
      <c r="I516">
        <v>47106</v>
      </c>
      <c r="J516">
        <v>34532.974806989601</v>
      </c>
      <c r="K516" t="str">
        <f>IF(AND(data_tab[[#This Row],[Revenue]]="",data_tab[[#This Row],[Cost]]=""),"Remove",IF(OR(data_tab[[#This Row],[Revenue]]="",data_tab[[#This Row],[Cost]]=""),"Flag","Valid"))</f>
        <v>Valid</v>
      </c>
      <c r="L516" t="str">
        <f>IF((COUNTIFS(data_tab[Revenue],data_tab[[#This Row],[Revenue]],data_tab[Cost],data_tab[[#This Row],[Cost]]))&gt;1,"Duplicate","Unique")</f>
        <v>Unique</v>
      </c>
      <c r="M516">
        <f>data_tab[[#This Row],[Revenue]]-data_tab[[#This Row],[Cost]]</f>
        <v>12573.025193010399</v>
      </c>
      <c r="N516" t="str">
        <f>IF(data_tab[[#This Row],[Revenue]]&lt;0,"Return","Sale")</f>
        <v>Sale</v>
      </c>
    </row>
    <row r="517" spans="1:14" hidden="1">
      <c r="A517" s="1">
        <v>46098</v>
      </c>
      <c r="B517">
        <f>MONTH(data_tab[[#This Row],[Order Date]])</f>
        <v>3</v>
      </c>
      <c r="C517">
        <f>YEAR(data_tab[[#This Row],[Order Date]])</f>
        <v>2026</v>
      </c>
      <c r="D517" t="s">
        <v>40</v>
      </c>
      <c r="E517" t="s">
        <v>15</v>
      </c>
      <c r="F517" t="s">
        <v>24</v>
      </c>
      <c r="G517" t="s">
        <v>39</v>
      </c>
      <c r="H517">
        <v>9</v>
      </c>
      <c r="I517">
        <v>229887</v>
      </c>
      <c r="K517" t="str">
        <f>IF(AND(data_tab[[#This Row],[Revenue]]="",data_tab[[#This Row],[Cost]]=""),"Remove",IF(OR(data_tab[[#This Row],[Revenue]]="",data_tab[[#This Row],[Cost]]=""),"Flag","Valid"))</f>
        <v>Flag</v>
      </c>
      <c r="L517" t="str">
        <f>IF((COUNTIFS(data_tab[Revenue],data_tab[[#This Row],[Revenue]],data_tab[Cost],data_tab[[#This Row],[Cost]]))&gt;1,"Duplicate","Unique")</f>
        <v>Unique</v>
      </c>
      <c r="M517">
        <f>data_tab[[#This Row],[Revenue]]-data_tab[[#This Row],[Cost]]</f>
        <v>229887</v>
      </c>
      <c r="N517" t="str">
        <f>IF(data_tab[[#This Row],[Revenue]]&lt;0,"Return","Sale")</f>
        <v>Sale</v>
      </c>
    </row>
    <row r="518" spans="1:14" hidden="1">
      <c r="A518" s="1">
        <v>46174</v>
      </c>
      <c r="B518">
        <f>MONTH(data_tab[[#This Row],[Order Date]])</f>
        <v>6</v>
      </c>
      <c r="C518">
        <f>YEAR(data_tab[[#This Row],[Order Date]])</f>
        <v>2026</v>
      </c>
      <c r="D518" t="s">
        <v>29</v>
      </c>
      <c r="E518" t="s">
        <v>15</v>
      </c>
      <c r="F518" t="s">
        <v>36</v>
      </c>
      <c r="G518" t="s">
        <v>33</v>
      </c>
      <c r="H518">
        <v>7</v>
      </c>
      <c r="I518">
        <v>264068</v>
      </c>
      <c r="J518">
        <v>154344.16256490201</v>
      </c>
      <c r="K518" t="str">
        <f>IF(AND(data_tab[[#This Row],[Revenue]]="",data_tab[[#This Row],[Cost]]=""),"Remove",IF(OR(data_tab[[#This Row],[Revenue]]="",data_tab[[#This Row],[Cost]]=""),"Flag","Valid"))</f>
        <v>Valid</v>
      </c>
      <c r="L518" t="str">
        <f>IF((COUNTIFS(data_tab[Revenue],data_tab[[#This Row],[Revenue]],data_tab[Cost],data_tab[[#This Row],[Cost]]))&gt;1,"Duplicate","Unique")</f>
        <v>Unique</v>
      </c>
      <c r="M518">
        <f>data_tab[[#This Row],[Revenue]]-data_tab[[#This Row],[Cost]]</f>
        <v>109723.83743509799</v>
      </c>
      <c r="N518" t="str">
        <f>IF(data_tab[[#This Row],[Revenue]]&lt;0,"Return","Sale")</f>
        <v>Sale</v>
      </c>
    </row>
    <row r="519" spans="1:14" hidden="1">
      <c r="A519" s="1">
        <v>46115</v>
      </c>
      <c r="B519">
        <f>MONTH(data_tab[[#This Row],[Order Date]])</f>
        <v>4</v>
      </c>
      <c r="C519">
        <f>YEAR(data_tab[[#This Row],[Order Date]])</f>
        <v>2026</v>
      </c>
      <c r="D519" t="s">
        <v>23</v>
      </c>
      <c r="E519" t="s">
        <v>15</v>
      </c>
      <c r="F519" t="s">
        <v>21</v>
      </c>
      <c r="G519" t="s">
        <v>17</v>
      </c>
      <c r="H519">
        <v>1</v>
      </c>
      <c r="I519">
        <v>6701</v>
      </c>
      <c r="J519">
        <v>5088.4425261505103</v>
      </c>
      <c r="K519" t="str">
        <f>IF(AND(data_tab[[#This Row],[Revenue]]="",data_tab[[#This Row],[Cost]]=""),"Remove",IF(OR(data_tab[[#This Row],[Revenue]]="",data_tab[[#This Row],[Cost]]=""),"Flag","Valid"))</f>
        <v>Valid</v>
      </c>
      <c r="L519" t="str">
        <f>IF((COUNTIFS(data_tab[Revenue],data_tab[[#This Row],[Revenue]],data_tab[Cost],data_tab[[#This Row],[Cost]]))&gt;1,"Duplicate","Unique")</f>
        <v>Unique</v>
      </c>
      <c r="M519">
        <f>data_tab[[#This Row],[Revenue]]-data_tab[[#This Row],[Cost]]</f>
        <v>1612.5574738494897</v>
      </c>
      <c r="N519" t="str">
        <f>IF(data_tab[[#This Row],[Revenue]]&lt;0,"Return","Sale")</f>
        <v>Sale</v>
      </c>
    </row>
    <row r="520" spans="1:14" hidden="1">
      <c r="A520" s="1">
        <v>46114</v>
      </c>
      <c r="B520">
        <f>MONTH(data_tab[[#This Row],[Order Date]])</f>
        <v>4</v>
      </c>
      <c r="C520">
        <f>YEAR(data_tab[[#This Row],[Order Date]])</f>
        <v>2026</v>
      </c>
      <c r="D520" t="s">
        <v>14</v>
      </c>
      <c r="E520" t="s">
        <v>15</v>
      </c>
      <c r="F520" t="s">
        <v>36</v>
      </c>
      <c r="G520" t="s">
        <v>33</v>
      </c>
      <c r="H520">
        <v>10</v>
      </c>
      <c r="I520">
        <v>298980</v>
      </c>
      <c r="J520">
        <v>224025.53241150299</v>
      </c>
      <c r="K520" t="str">
        <f>IF(AND(data_tab[[#This Row],[Revenue]]="",data_tab[[#This Row],[Cost]]=""),"Remove",IF(OR(data_tab[[#This Row],[Revenue]]="",data_tab[[#This Row],[Cost]]=""),"Flag","Valid"))</f>
        <v>Valid</v>
      </c>
      <c r="L520" t="str">
        <f>IF((COUNTIFS(data_tab[Revenue],data_tab[[#This Row],[Revenue]],data_tab[Cost],data_tab[[#This Row],[Cost]]))&gt;1,"Duplicate","Unique")</f>
        <v>Unique</v>
      </c>
      <c r="M520">
        <f>data_tab[[#This Row],[Revenue]]-data_tab[[#This Row],[Cost]]</f>
        <v>74954.467588497006</v>
      </c>
      <c r="N520" t="str">
        <f>IF(data_tab[[#This Row],[Revenue]]&lt;0,"Return","Sale")</f>
        <v>Sale</v>
      </c>
    </row>
    <row r="521" spans="1:14" hidden="1">
      <c r="A521" s="1">
        <v>46121</v>
      </c>
      <c r="B521">
        <f>MONTH(data_tab[[#This Row],[Order Date]])</f>
        <v>4</v>
      </c>
      <c r="C521">
        <f>YEAR(data_tab[[#This Row],[Order Date]])</f>
        <v>2026</v>
      </c>
      <c r="D521" t="s">
        <v>40</v>
      </c>
      <c r="E521" t="s">
        <v>15</v>
      </c>
      <c r="F521" t="s">
        <v>24</v>
      </c>
      <c r="G521" t="s">
        <v>26</v>
      </c>
      <c r="H521">
        <v>8</v>
      </c>
      <c r="I521">
        <v>399208</v>
      </c>
      <c r="J521">
        <v>237408.99237484901</v>
      </c>
      <c r="K521" t="str">
        <f>IF(AND(data_tab[[#This Row],[Revenue]]="",data_tab[[#This Row],[Cost]]=""),"Remove",IF(OR(data_tab[[#This Row],[Revenue]]="",data_tab[[#This Row],[Cost]]=""),"Flag","Valid"))</f>
        <v>Valid</v>
      </c>
      <c r="L521" t="str">
        <f>IF((COUNTIFS(data_tab[Revenue],data_tab[[#This Row],[Revenue]],data_tab[Cost],data_tab[[#This Row],[Cost]]))&gt;1,"Duplicate","Unique")</f>
        <v>Unique</v>
      </c>
      <c r="M521">
        <f>data_tab[[#This Row],[Revenue]]-data_tab[[#This Row],[Cost]]</f>
        <v>161799.00762515099</v>
      </c>
      <c r="N521" t="str">
        <f>IF(data_tab[[#This Row],[Revenue]]&lt;0,"Return","Sale")</f>
        <v>Sale</v>
      </c>
    </row>
    <row r="522" spans="1:14" hidden="1">
      <c r="A522" s="1">
        <v>46116</v>
      </c>
      <c r="B522">
        <f>MONTH(data_tab[[#This Row],[Order Date]])</f>
        <v>4</v>
      </c>
      <c r="C522">
        <f>YEAR(data_tab[[#This Row],[Order Date]])</f>
        <v>2026</v>
      </c>
      <c r="D522" t="s">
        <v>20</v>
      </c>
      <c r="E522" t="s">
        <v>15</v>
      </c>
      <c r="F522" t="s">
        <v>36</v>
      </c>
      <c r="G522" t="s">
        <v>41</v>
      </c>
      <c r="H522">
        <v>6</v>
      </c>
      <c r="I522">
        <v>56496</v>
      </c>
      <c r="J522">
        <v>41361.146031727403</v>
      </c>
      <c r="K522" t="str">
        <f>IF(AND(data_tab[[#This Row],[Revenue]]="",data_tab[[#This Row],[Cost]]=""),"Remove",IF(OR(data_tab[[#This Row],[Revenue]]="",data_tab[[#This Row],[Cost]]=""),"Flag","Valid"))</f>
        <v>Valid</v>
      </c>
      <c r="L522" t="str">
        <f>IF((COUNTIFS(data_tab[Revenue],data_tab[[#This Row],[Revenue]],data_tab[Cost],data_tab[[#This Row],[Cost]]))&gt;1,"Duplicate","Unique")</f>
        <v>Unique</v>
      </c>
      <c r="M522">
        <f>data_tab[[#This Row],[Revenue]]-data_tab[[#This Row],[Cost]]</f>
        <v>15134.853968272597</v>
      </c>
      <c r="N522" t="str">
        <f>IF(data_tab[[#This Row],[Revenue]]&lt;0,"Return","Sale")</f>
        <v>Sale</v>
      </c>
    </row>
    <row r="523" spans="1:14">
      <c r="A523" s="1">
        <v>46157</v>
      </c>
      <c r="B523">
        <f>MONTH(data_tab[[#This Row],[Order Date]])</f>
        <v>5</v>
      </c>
      <c r="C523">
        <f>YEAR(data_tab[[#This Row],[Order Date]])</f>
        <v>2026</v>
      </c>
      <c r="D523" t="s">
        <v>23</v>
      </c>
      <c r="E523" t="s">
        <v>15</v>
      </c>
      <c r="F523" t="s">
        <v>16</v>
      </c>
      <c r="G523" t="s">
        <v>33</v>
      </c>
      <c r="H523">
        <v>9</v>
      </c>
      <c r="I523">
        <v>64143</v>
      </c>
      <c r="J523">
        <v>45499.3699476088</v>
      </c>
      <c r="K523" t="str">
        <f>IF(AND(data_tab[[#This Row],[Revenue]]="",data_tab[[#This Row],[Cost]]=""),"Remove",IF(OR(data_tab[[#This Row],[Revenue]]="",data_tab[[#This Row],[Cost]]=""),"Flag","Valid"))</f>
        <v>Valid</v>
      </c>
      <c r="L523" t="str">
        <f>IF((COUNTIFS(data_tab[Revenue],data_tab[[#This Row],[Revenue]],data_tab[Cost],data_tab[[#This Row],[Cost]]))&gt;1,"Duplicate","Unique")</f>
        <v>Duplicate</v>
      </c>
      <c r="M523">
        <f>data_tab[[#This Row],[Revenue]]-data_tab[[#This Row],[Cost]]</f>
        <v>18643.6300523912</v>
      </c>
      <c r="N523" t="str">
        <f>IF(data_tab[[#This Row],[Revenue]]&lt;0,"Return","Sale")</f>
        <v>Sale</v>
      </c>
    </row>
    <row r="524" spans="1:14" hidden="1">
      <c r="A524" s="1">
        <v>46192</v>
      </c>
      <c r="B524">
        <f>MONTH(data_tab[[#This Row],[Order Date]])</f>
        <v>6</v>
      </c>
      <c r="C524">
        <f>YEAR(data_tab[[#This Row],[Order Date]])</f>
        <v>2026</v>
      </c>
      <c r="D524" t="s">
        <v>14</v>
      </c>
      <c r="E524" t="s">
        <v>15</v>
      </c>
      <c r="F524" t="s">
        <v>16</v>
      </c>
      <c r="G524" t="s">
        <v>26</v>
      </c>
      <c r="H524">
        <v>1</v>
      </c>
      <c r="J524">
        <v>17503.3221501017</v>
      </c>
      <c r="K524" t="str">
        <f>IF(AND(data_tab[[#This Row],[Revenue]]="",data_tab[[#This Row],[Cost]]=""),"Remove",IF(OR(data_tab[[#This Row],[Revenue]]="",data_tab[[#This Row],[Cost]]=""),"Flag","Valid"))</f>
        <v>Flag</v>
      </c>
      <c r="L524" t="str">
        <f>IF((COUNTIFS(data_tab[Revenue],data_tab[[#This Row],[Revenue]],data_tab[Cost],data_tab[[#This Row],[Cost]]))&gt;1,"Duplicate","Unique")</f>
        <v>Unique</v>
      </c>
      <c r="M524">
        <f>data_tab[[#This Row],[Revenue]]-data_tab[[#This Row],[Cost]]</f>
        <v>-17503.3221501017</v>
      </c>
      <c r="N524" t="str">
        <f>IF(data_tab[[#This Row],[Revenue]]&lt;0,"Return","Sale")</f>
        <v>Sale</v>
      </c>
    </row>
    <row r="525" spans="1:14">
      <c r="A525" s="1">
        <v>46169</v>
      </c>
      <c r="B525">
        <f>MONTH(data_tab[[#This Row],[Order Date]])</f>
        <v>5</v>
      </c>
      <c r="C525">
        <f>YEAR(data_tab[[#This Row],[Order Date]])</f>
        <v>2026</v>
      </c>
      <c r="D525" t="s">
        <v>23</v>
      </c>
      <c r="E525" t="s">
        <v>15</v>
      </c>
      <c r="F525" t="s">
        <v>16</v>
      </c>
      <c r="G525" t="s">
        <v>37</v>
      </c>
      <c r="H525">
        <v>3</v>
      </c>
      <c r="I525">
        <v>12945</v>
      </c>
      <c r="J525">
        <v>10071.474921290501</v>
      </c>
      <c r="K525" t="str">
        <f>IF(AND(data_tab[[#This Row],[Revenue]]="",data_tab[[#This Row],[Cost]]=""),"Remove",IF(OR(data_tab[[#This Row],[Revenue]]="",data_tab[[#This Row],[Cost]]=""),"Flag","Valid"))</f>
        <v>Valid</v>
      </c>
      <c r="L525" t="str">
        <f>IF((COUNTIFS(data_tab[Revenue],data_tab[[#This Row],[Revenue]],data_tab[Cost],data_tab[[#This Row],[Cost]]))&gt;1,"Duplicate","Unique")</f>
        <v>Unique</v>
      </c>
      <c r="M525">
        <f>data_tab[[#This Row],[Revenue]]-data_tab[[#This Row],[Cost]]</f>
        <v>2873.5250787094992</v>
      </c>
      <c r="N525" t="str">
        <f>IF(data_tab[[#This Row],[Revenue]]&lt;0,"Return","Sale")</f>
        <v>Sale</v>
      </c>
    </row>
    <row r="526" spans="1:14" hidden="1">
      <c r="A526" s="1">
        <v>46237</v>
      </c>
      <c r="B526">
        <f>MONTH(data_tab[[#This Row],[Order Date]])</f>
        <v>8</v>
      </c>
      <c r="C526">
        <f>YEAR(data_tab[[#This Row],[Order Date]])</f>
        <v>2026</v>
      </c>
      <c r="D526" t="s">
        <v>29</v>
      </c>
      <c r="E526" t="s">
        <v>15</v>
      </c>
      <c r="F526" t="s">
        <v>21</v>
      </c>
      <c r="G526" t="s">
        <v>26</v>
      </c>
      <c r="H526">
        <v>1</v>
      </c>
      <c r="I526">
        <v>45012</v>
      </c>
      <c r="J526">
        <v>40337.3206801903</v>
      </c>
      <c r="K526" t="str">
        <f>IF(AND(data_tab[[#This Row],[Revenue]]="",data_tab[[#This Row],[Cost]]=""),"Remove",IF(OR(data_tab[[#This Row],[Revenue]]="",data_tab[[#This Row],[Cost]]=""),"Flag","Valid"))</f>
        <v>Valid</v>
      </c>
      <c r="L526" t="str">
        <f>IF((COUNTIFS(data_tab[Revenue],data_tab[[#This Row],[Revenue]],data_tab[Cost],data_tab[[#This Row],[Cost]]))&gt;1,"Duplicate","Unique")</f>
        <v>Unique</v>
      </c>
      <c r="M526">
        <f>data_tab[[#This Row],[Revenue]]-data_tab[[#This Row],[Cost]]</f>
        <v>4674.6793198097002</v>
      </c>
      <c r="N526" t="str">
        <f>IF(data_tab[[#This Row],[Revenue]]&lt;0,"Return","Sale")</f>
        <v>Sale</v>
      </c>
    </row>
    <row r="527" spans="1:14" hidden="1">
      <c r="A527" s="1">
        <v>46044</v>
      </c>
      <c r="B527">
        <f>MONTH(data_tab[[#This Row],[Order Date]])</f>
        <v>1</v>
      </c>
      <c r="C527">
        <f>YEAR(data_tab[[#This Row],[Order Date]])</f>
        <v>2026</v>
      </c>
      <c r="D527" t="s">
        <v>20</v>
      </c>
      <c r="E527" t="s">
        <v>15</v>
      </c>
      <c r="F527" t="s">
        <v>16</v>
      </c>
      <c r="G527" t="s">
        <v>37</v>
      </c>
      <c r="H527">
        <v>3</v>
      </c>
      <c r="I527">
        <v>127068</v>
      </c>
      <c r="K527" t="str">
        <f>IF(AND(data_tab[[#This Row],[Revenue]]="",data_tab[[#This Row],[Cost]]=""),"Remove",IF(OR(data_tab[[#This Row],[Revenue]]="",data_tab[[#This Row],[Cost]]=""),"Flag","Valid"))</f>
        <v>Flag</v>
      </c>
      <c r="L527" t="str">
        <f>IF((COUNTIFS(data_tab[Revenue],data_tab[[#This Row],[Revenue]],data_tab[Cost],data_tab[[#This Row],[Cost]]))&gt;1,"Duplicate","Unique")</f>
        <v>Unique</v>
      </c>
      <c r="M527">
        <f>data_tab[[#This Row],[Revenue]]-data_tab[[#This Row],[Cost]]</f>
        <v>127068</v>
      </c>
      <c r="N527" t="str">
        <f>IF(data_tab[[#This Row],[Revenue]]&lt;0,"Return","Sale")</f>
        <v>Sale</v>
      </c>
    </row>
    <row r="528" spans="1:14" hidden="1">
      <c r="A528" s="1">
        <v>46067</v>
      </c>
      <c r="B528">
        <f>MONTH(data_tab[[#This Row],[Order Date]])</f>
        <v>2</v>
      </c>
      <c r="C528">
        <f>YEAR(data_tab[[#This Row],[Order Date]])</f>
        <v>2026</v>
      </c>
      <c r="D528" t="s">
        <v>14</v>
      </c>
      <c r="E528" t="s">
        <v>15</v>
      </c>
      <c r="F528" t="s">
        <v>36</v>
      </c>
      <c r="G528" t="s">
        <v>37</v>
      </c>
      <c r="H528">
        <v>3</v>
      </c>
      <c r="I528">
        <v>57363</v>
      </c>
      <c r="J528">
        <v>46636.7547033683</v>
      </c>
      <c r="K528" t="str">
        <f>IF(AND(data_tab[[#This Row],[Revenue]]="",data_tab[[#This Row],[Cost]]=""),"Remove",IF(OR(data_tab[[#This Row],[Revenue]]="",data_tab[[#This Row],[Cost]]=""),"Flag","Valid"))</f>
        <v>Valid</v>
      </c>
      <c r="L528" t="str">
        <f>IF((COUNTIFS(data_tab[Revenue],data_tab[[#This Row],[Revenue]],data_tab[Cost],data_tab[[#This Row],[Cost]]))&gt;1,"Duplicate","Unique")</f>
        <v>Unique</v>
      </c>
      <c r="M528">
        <f>data_tab[[#This Row],[Revenue]]-data_tab[[#This Row],[Cost]]</f>
        <v>10726.2452966317</v>
      </c>
      <c r="N528" t="str">
        <f>IF(data_tab[[#This Row],[Revenue]]&lt;0,"Return","Sale")</f>
        <v>Sale</v>
      </c>
    </row>
    <row r="529" spans="1:14" hidden="1">
      <c r="A529" s="1">
        <v>46031</v>
      </c>
      <c r="B529">
        <f>MONTH(data_tab[[#This Row],[Order Date]])</f>
        <v>1</v>
      </c>
      <c r="C529">
        <f>YEAR(data_tab[[#This Row],[Order Date]])</f>
        <v>2026</v>
      </c>
      <c r="D529" t="s">
        <v>31</v>
      </c>
      <c r="E529" t="s">
        <v>32</v>
      </c>
      <c r="F529" t="s">
        <v>21</v>
      </c>
      <c r="G529" t="s">
        <v>33</v>
      </c>
      <c r="H529">
        <v>7</v>
      </c>
      <c r="I529">
        <v>189777</v>
      </c>
      <c r="J529">
        <v>112951.28046073701</v>
      </c>
      <c r="K529" t="str">
        <f>IF(AND(data_tab[[#This Row],[Revenue]]="",data_tab[[#This Row],[Cost]]=""),"Remove",IF(OR(data_tab[[#This Row],[Revenue]]="",data_tab[[#This Row],[Cost]]=""),"Flag","Valid"))</f>
        <v>Valid</v>
      </c>
      <c r="L529" t="str">
        <f>IF((COUNTIFS(data_tab[Revenue],data_tab[[#This Row],[Revenue]],data_tab[Cost],data_tab[[#This Row],[Cost]]))&gt;1,"Duplicate","Unique")</f>
        <v>Duplicate</v>
      </c>
      <c r="M529">
        <f>data_tab[[#This Row],[Revenue]]-data_tab[[#This Row],[Cost]]</f>
        <v>76825.719539262995</v>
      </c>
      <c r="N529" t="str">
        <f>IF(data_tab[[#This Row],[Revenue]]&lt;0,"Return","Sale")</f>
        <v>Sale</v>
      </c>
    </row>
    <row r="530" spans="1:14" hidden="1">
      <c r="A530" s="1">
        <v>46111</v>
      </c>
      <c r="B530">
        <f>MONTH(data_tab[[#This Row],[Order Date]])</f>
        <v>3</v>
      </c>
      <c r="C530">
        <f>YEAR(data_tab[[#This Row],[Order Date]])</f>
        <v>2026</v>
      </c>
      <c r="D530" t="s">
        <v>35</v>
      </c>
      <c r="E530" t="s">
        <v>32</v>
      </c>
      <c r="F530" t="s">
        <v>24</v>
      </c>
      <c r="G530" t="s">
        <v>39</v>
      </c>
      <c r="H530">
        <v>3</v>
      </c>
      <c r="I530">
        <v>97227</v>
      </c>
      <c r="J530">
        <v>64121.004374592303</v>
      </c>
      <c r="K530" t="str">
        <f>IF(AND(data_tab[[#This Row],[Revenue]]="",data_tab[[#This Row],[Cost]]=""),"Remove",IF(OR(data_tab[[#This Row],[Revenue]]="",data_tab[[#This Row],[Cost]]=""),"Flag","Valid"))</f>
        <v>Valid</v>
      </c>
      <c r="L530" t="str">
        <f>IF((COUNTIFS(data_tab[Revenue],data_tab[[#This Row],[Revenue]],data_tab[Cost],data_tab[[#This Row],[Cost]]))&gt;1,"Duplicate","Unique")</f>
        <v>Unique</v>
      </c>
      <c r="M530">
        <f>data_tab[[#This Row],[Revenue]]-data_tab[[#This Row],[Cost]]</f>
        <v>33105.995625407697</v>
      </c>
      <c r="N530" t="str">
        <f>IF(data_tab[[#This Row],[Revenue]]&lt;0,"Return","Sale")</f>
        <v>Sale</v>
      </c>
    </row>
    <row r="531" spans="1:14">
      <c r="A531" s="1">
        <v>46159</v>
      </c>
      <c r="B531">
        <f>MONTH(data_tab[[#This Row],[Order Date]])</f>
        <v>5</v>
      </c>
      <c r="C531">
        <f>YEAR(data_tab[[#This Row],[Order Date]])</f>
        <v>2026</v>
      </c>
      <c r="D531" t="s">
        <v>29</v>
      </c>
      <c r="E531" t="s">
        <v>15</v>
      </c>
      <c r="F531" t="s">
        <v>36</v>
      </c>
      <c r="G531" t="s">
        <v>37</v>
      </c>
      <c r="H531">
        <v>3</v>
      </c>
      <c r="J531">
        <v>93537.324483652104</v>
      </c>
      <c r="K531" t="str">
        <f>IF(AND(data_tab[[#This Row],[Revenue]]="",data_tab[[#This Row],[Cost]]=""),"Remove",IF(OR(data_tab[[#This Row],[Revenue]]="",data_tab[[#This Row],[Cost]]=""),"Flag","Valid"))</f>
        <v>Flag</v>
      </c>
      <c r="L531" t="str">
        <f>IF((COUNTIFS(data_tab[Revenue],data_tab[[#This Row],[Revenue]],data_tab[Cost],data_tab[[#This Row],[Cost]]))&gt;1,"Duplicate","Unique")</f>
        <v>Unique</v>
      </c>
      <c r="M531">
        <f>data_tab[[#This Row],[Revenue]]-data_tab[[#This Row],[Cost]]</f>
        <v>-93537.324483652104</v>
      </c>
      <c r="N531" t="str">
        <f>IF(data_tab[[#This Row],[Revenue]]&lt;0,"Return","Sale")</f>
        <v>Sale</v>
      </c>
    </row>
    <row r="532" spans="1:14" hidden="1">
      <c r="A532" s="1">
        <v>46196</v>
      </c>
      <c r="B532">
        <f>MONTH(data_tab[[#This Row],[Order Date]])</f>
        <v>6</v>
      </c>
      <c r="C532">
        <f>YEAR(data_tab[[#This Row],[Order Date]])</f>
        <v>2026</v>
      </c>
      <c r="D532" t="s">
        <v>20</v>
      </c>
      <c r="E532" t="s">
        <v>15</v>
      </c>
      <c r="F532" t="s">
        <v>24</v>
      </c>
      <c r="G532" t="s">
        <v>26</v>
      </c>
      <c r="H532">
        <v>6</v>
      </c>
      <c r="I532">
        <v>181782</v>
      </c>
      <c r="J532">
        <v>135281.11501119501</v>
      </c>
      <c r="K532" t="str">
        <f>IF(AND(data_tab[[#This Row],[Revenue]]="",data_tab[[#This Row],[Cost]]=""),"Remove",IF(OR(data_tab[[#This Row],[Revenue]]="",data_tab[[#This Row],[Cost]]=""),"Flag","Valid"))</f>
        <v>Valid</v>
      </c>
      <c r="L532" t="str">
        <f>IF((COUNTIFS(data_tab[Revenue],data_tab[[#This Row],[Revenue]],data_tab[Cost],data_tab[[#This Row],[Cost]]))&gt;1,"Duplicate","Unique")</f>
        <v>Unique</v>
      </c>
      <c r="M532">
        <f>data_tab[[#This Row],[Revenue]]-data_tab[[#This Row],[Cost]]</f>
        <v>46500.884988804988</v>
      </c>
      <c r="N532" t="str">
        <f>IF(data_tab[[#This Row],[Revenue]]&lt;0,"Return","Sale")</f>
        <v>Sale</v>
      </c>
    </row>
    <row r="533" spans="1:14" hidden="1">
      <c r="A533" s="1">
        <v>46048</v>
      </c>
      <c r="B533">
        <f>MONTH(data_tab[[#This Row],[Order Date]])</f>
        <v>1</v>
      </c>
      <c r="C533">
        <f>YEAR(data_tab[[#This Row],[Order Date]])</f>
        <v>2026</v>
      </c>
      <c r="D533" t="s">
        <v>29</v>
      </c>
      <c r="E533" t="s">
        <v>15</v>
      </c>
      <c r="F533" t="s">
        <v>21</v>
      </c>
      <c r="G533" t="s">
        <v>41</v>
      </c>
      <c r="H533">
        <v>10</v>
      </c>
      <c r="I533">
        <v>147740</v>
      </c>
      <c r="J533">
        <v>104597.10242542101</v>
      </c>
      <c r="K533" t="str">
        <f>IF(AND(data_tab[[#This Row],[Revenue]]="",data_tab[[#This Row],[Cost]]=""),"Remove",IF(OR(data_tab[[#This Row],[Revenue]]="",data_tab[[#This Row],[Cost]]=""),"Flag","Valid"))</f>
        <v>Valid</v>
      </c>
      <c r="L533" t="str">
        <f>IF((COUNTIFS(data_tab[Revenue],data_tab[[#This Row],[Revenue]],data_tab[Cost],data_tab[[#This Row],[Cost]]))&gt;1,"Duplicate","Unique")</f>
        <v>Unique</v>
      </c>
      <c r="M533">
        <f>data_tab[[#This Row],[Revenue]]-data_tab[[#This Row],[Cost]]</f>
        <v>43142.897574578994</v>
      </c>
      <c r="N533" t="str">
        <f>IF(data_tab[[#This Row],[Revenue]]&lt;0,"Return","Sale")</f>
        <v>Sale</v>
      </c>
    </row>
    <row r="534" spans="1:14" hidden="1">
      <c r="A534" s="1">
        <v>46025</v>
      </c>
      <c r="B534">
        <f>MONTH(data_tab[[#This Row],[Order Date]])</f>
        <v>1</v>
      </c>
      <c r="C534">
        <f>YEAR(data_tab[[#This Row],[Order Date]])</f>
        <v>2026</v>
      </c>
      <c r="D534" t="s">
        <v>20</v>
      </c>
      <c r="E534" t="s">
        <v>15</v>
      </c>
      <c r="F534" t="s">
        <v>36</v>
      </c>
      <c r="G534" t="s">
        <v>39</v>
      </c>
      <c r="H534">
        <v>9</v>
      </c>
      <c r="I534">
        <v>79281</v>
      </c>
      <c r="J534">
        <v>61379.3360002837</v>
      </c>
      <c r="K534" t="str">
        <f>IF(AND(data_tab[[#This Row],[Revenue]]="",data_tab[[#This Row],[Cost]]=""),"Remove",IF(OR(data_tab[[#This Row],[Revenue]]="",data_tab[[#This Row],[Cost]]=""),"Flag","Valid"))</f>
        <v>Valid</v>
      </c>
      <c r="L534" t="str">
        <f>IF((COUNTIFS(data_tab[Revenue],data_tab[[#This Row],[Revenue]],data_tab[Cost],data_tab[[#This Row],[Cost]]))&gt;1,"Duplicate","Unique")</f>
        <v>Unique</v>
      </c>
      <c r="M534">
        <f>data_tab[[#This Row],[Revenue]]-data_tab[[#This Row],[Cost]]</f>
        <v>17901.6639997163</v>
      </c>
      <c r="N534" t="str">
        <f>IF(data_tab[[#This Row],[Revenue]]&lt;0,"Return","Sale")</f>
        <v>Sale</v>
      </c>
    </row>
    <row r="535" spans="1:14" hidden="1">
      <c r="A535" s="1">
        <v>46266</v>
      </c>
      <c r="B535">
        <f>MONTH(data_tab[[#This Row],[Order Date]])</f>
        <v>9</v>
      </c>
      <c r="C535">
        <f>YEAR(data_tab[[#This Row],[Order Date]])</f>
        <v>2026</v>
      </c>
      <c r="D535" t="s">
        <v>20</v>
      </c>
      <c r="E535" t="s">
        <v>15</v>
      </c>
      <c r="F535" t="s">
        <v>24</v>
      </c>
      <c r="G535" t="s">
        <v>26</v>
      </c>
      <c r="H535">
        <v>4</v>
      </c>
      <c r="I535">
        <v>165124</v>
      </c>
      <c r="J535">
        <v>124707.119331629</v>
      </c>
      <c r="K535" t="str">
        <f>IF(AND(data_tab[[#This Row],[Revenue]]="",data_tab[[#This Row],[Cost]]=""),"Remove",IF(OR(data_tab[[#This Row],[Revenue]]="",data_tab[[#This Row],[Cost]]=""),"Flag","Valid"))</f>
        <v>Valid</v>
      </c>
      <c r="L535" t="str">
        <f>IF((COUNTIFS(data_tab[Revenue],data_tab[[#This Row],[Revenue]],data_tab[Cost],data_tab[[#This Row],[Cost]]))&gt;1,"Duplicate","Unique")</f>
        <v>Unique</v>
      </c>
      <c r="M535">
        <f>data_tab[[#This Row],[Revenue]]-data_tab[[#This Row],[Cost]]</f>
        <v>40416.880668370999</v>
      </c>
      <c r="N535" t="str">
        <f>IF(data_tab[[#This Row],[Revenue]]&lt;0,"Return","Sale")</f>
        <v>Sale</v>
      </c>
    </row>
    <row r="536" spans="1:14" hidden="1">
      <c r="A536" s="1">
        <v>46056</v>
      </c>
      <c r="B536">
        <f>MONTH(data_tab[[#This Row],[Order Date]])</f>
        <v>2</v>
      </c>
      <c r="C536">
        <f>YEAR(data_tab[[#This Row],[Order Date]])</f>
        <v>2026</v>
      </c>
      <c r="D536" t="s">
        <v>14</v>
      </c>
      <c r="E536" t="s">
        <v>15</v>
      </c>
      <c r="F536" t="s">
        <v>21</v>
      </c>
      <c r="G536" t="s">
        <v>39</v>
      </c>
      <c r="H536">
        <v>3</v>
      </c>
      <c r="I536">
        <v>55806</v>
      </c>
      <c r="J536">
        <v>34478.478488322799</v>
      </c>
      <c r="K536" t="str">
        <f>IF(AND(data_tab[[#This Row],[Revenue]]="",data_tab[[#This Row],[Cost]]=""),"Remove",IF(OR(data_tab[[#This Row],[Revenue]]="",data_tab[[#This Row],[Cost]]=""),"Flag","Valid"))</f>
        <v>Valid</v>
      </c>
      <c r="L536" t="str">
        <f>IF((COUNTIFS(data_tab[Revenue],data_tab[[#This Row],[Revenue]],data_tab[Cost],data_tab[[#This Row],[Cost]]))&gt;1,"Duplicate","Unique")</f>
        <v>Unique</v>
      </c>
      <c r="M536">
        <f>data_tab[[#This Row],[Revenue]]-data_tab[[#This Row],[Cost]]</f>
        <v>21327.521511677201</v>
      </c>
      <c r="N536" t="str">
        <f>IF(data_tab[[#This Row],[Revenue]]&lt;0,"Return","Sale")</f>
        <v>Sale</v>
      </c>
    </row>
    <row r="537" spans="1:14" hidden="1">
      <c r="A537" s="1">
        <v>46093</v>
      </c>
      <c r="B537">
        <f>MONTH(data_tab[[#This Row],[Order Date]])</f>
        <v>3</v>
      </c>
      <c r="C537">
        <f>YEAR(data_tab[[#This Row],[Order Date]])</f>
        <v>2026</v>
      </c>
      <c r="D537" t="s">
        <v>14</v>
      </c>
      <c r="E537" t="s">
        <v>15</v>
      </c>
      <c r="F537" t="s">
        <v>16</v>
      </c>
      <c r="G537" t="s">
        <v>37</v>
      </c>
      <c r="H537">
        <v>3</v>
      </c>
      <c r="I537">
        <v>20547</v>
      </c>
      <c r="J537">
        <v>12552.470353401201</v>
      </c>
      <c r="K537" t="str">
        <f>IF(AND(data_tab[[#This Row],[Revenue]]="",data_tab[[#This Row],[Cost]]=""),"Remove",IF(OR(data_tab[[#This Row],[Revenue]]="",data_tab[[#This Row],[Cost]]=""),"Flag","Valid"))</f>
        <v>Valid</v>
      </c>
      <c r="L537" t="str">
        <f>IF((COUNTIFS(data_tab[Revenue],data_tab[[#This Row],[Revenue]],data_tab[Cost],data_tab[[#This Row],[Cost]]))&gt;1,"Duplicate","Unique")</f>
        <v>Unique</v>
      </c>
      <c r="M537">
        <f>data_tab[[#This Row],[Revenue]]-data_tab[[#This Row],[Cost]]</f>
        <v>7994.5296465987994</v>
      </c>
      <c r="N537" t="str">
        <f>IF(data_tab[[#This Row],[Revenue]]&lt;0,"Return","Sale")</f>
        <v>Sale</v>
      </c>
    </row>
    <row r="538" spans="1:14" hidden="1">
      <c r="A538" s="1">
        <v>46089</v>
      </c>
      <c r="B538">
        <f>MONTH(data_tab[[#This Row],[Order Date]])</f>
        <v>3</v>
      </c>
      <c r="C538">
        <f>YEAR(data_tab[[#This Row],[Order Date]])</f>
        <v>2026</v>
      </c>
      <c r="D538" t="s">
        <v>29</v>
      </c>
      <c r="E538" t="s">
        <v>15</v>
      </c>
      <c r="F538" t="s">
        <v>24</v>
      </c>
      <c r="G538" t="s">
        <v>33</v>
      </c>
      <c r="H538">
        <v>4</v>
      </c>
      <c r="I538">
        <v>167984</v>
      </c>
      <c r="J538">
        <v>110374.52186157501</v>
      </c>
      <c r="K538" t="str">
        <f>IF(AND(data_tab[[#This Row],[Revenue]]="",data_tab[[#This Row],[Cost]]=""),"Remove",IF(OR(data_tab[[#This Row],[Revenue]]="",data_tab[[#This Row],[Cost]]=""),"Flag","Valid"))</f>
        <v>Valid</v>
      </c>
      <c r="L538" t="str">
        <f>IF((COUNTIFS(data_tab[Revenue],data_tab[[#This Row],[Revenue]],data_tab[Cost],data_tab[[#This Row],[Cost]]))&gt;1,"Duplicate","Unique")</f>
        <v>Unique</v>
      </c>
      <c r="M538">
        <f>data_tab[[#This Row],[Revenue]]-data_tab[[#This Row],[Cost]]</f>
        <v>57609.478138424995</v>
      </c>
      <c r="N538" t="str">
        <f>IF(data_tab[[#This Row],[Revenue]]&lt;0,"Return","Sale")</f>
        <v>Sale</v>
      </c>
    </row>
    <row r="539" spans="1:14" hidden="1">
      <c r="A539" s="1">
        <v>46133</v>
      </c>
      <c r="B539">
        <f>MONTH(data_tab[[#This Row],[Order Date]])</f>
        <v>4</v>
      </c>
      <c r="C539">
        <f>YEAR(data_tab[[#This Row],[Order Date]])</f>
        <v>2026</v>
      </c>
      <c r="D539" t="s">
        <v>29</v>
      </c>
      <c r="E539" t="s">
        <v>15</v>
      </c>
      <c r="F539" t="s">
        <v>16</v>
      </c>
      <c r="G539" t="s">
        <v>39</v>
      </c>
      <c r="H539">
        <v>1</v>
      </c>
      <c r="I539">
        <v>-6778</v>
      </c>
      <c r="J539">
        <v>3579.90190133027</v>
      </c>
      <c r="K539" t="str">
        <f>IF(AND(data_tab[[#This Row],[Revenue]]="",data_tab[[#This Row],[Cost]]=""),"Remove",IF(OR(data_tab[[#This Row],[Revenue]]="",data_tab[[#This Row],[Cost]]=""),"Flag","Valid"))</f>
        <v>Valid</v>
      </c>
      <c r="L539" t="str">
        <f>IF((COUNTIFS(data_tab[Revenue],data_tab[[#This Row],[Revenue]],data_tab[Cost],data_tab[[#This Row],[Cost]]))&gt;1,"Duplicate","Unique")</f>
        <v>Unique</v>
      </c>
      <c r="M539">
        <f>data_tab[[#This Row],[Revenue]]-data_tab[[#This Row],[Cost]]</f>
        <v>-10357.90190133027</v>
      </c>
      <c r="N539" t="str">
        <f>IF(data_tab[[#This Row],[Revenue]]&lt;0,"Return","Sale")</f>
        <v>Return</v>
      </c>
    </row>
    <row r="540" spans="1:14" hidden="1">
      <c r="A540" s="1">
        <v>46239</v>
      </c>
      <c r="B540">
        <f>MONTH(data_tab[[#This Row],[Order Date]])</f>
        <v>8</v>
      </c>
      <c r="C540">
        <f>YEAR(data_tab[[#This Row],[Order Date]])</f>
        <v>2026</v>
      </c>
      <c r="D540" t="s">
        <v>14</v>
      </c>
      <c r="E540" t="s">
        <v>15</v>
      </c>
      <c r="F540" t="s">
        <v>24</v>
      </c>
      <c r="G540" t="s">
        <v>39</v>
      </c>
      <c r="H540">
        <v>7</v>
      </c>
      <c r="I540">
        <v>-136227</v>
      </c>
      <c r="J540">
        <v>76374.7125409734</v>
      </c>
      <c r="K540" t="str">
        <f>IF(AND(data_tab[[#This Row],[Revenue]]="",data_tab[[#This Row],[Cost]]=""),"Remove",IF(OR(data_tab[[#This Row],[Revenue]]="",data_tab[[#This Row],[Cost]]=""),"Flag","Valid"))</f>
        <v>Valid</v>
      </c>
      <c r="L540" t="str">
        <f>IF((COUNTIFS(data_tab[Revenue],data_tab[[#This Row],[Revenue]],data_tab[Cost],data_tab[[#This Row],[Cost]]))&gt;1,"Duplicate","Unique")</f>
        <v>Unique</v>
      </c>
      <c r="M540">
        <f>data_tab[[#This Row],[Revenue]]-data_tab[[#This Row],[Cost]]</f>
        <v>-212601.71254097339</v>
      </c>
      <c r="N540" t="str">
        <f>IF(data_tab[[#This Row],[Revenue]]&lt;0,"Return","Sale")</f>
        <v>Return</v>
      </c>
    </row>
    <row r="541" spans="1:14">
      <c r="A541" s="1">
        <v>46148</v>
      </c>
      <c r="B541">
        <f>MONTH(data_tab[[#This Row],[Order Date]])</f>
        <v>5</v>
      </c>
      <c r="C541">
        <f>YEAR(data_tab[[#This Row],[Order Date]])</f>
        <v>2026</v>
      </c>
      <c r="D541" t="s">
        <v>14</v>
      </c>
      <c r="E541" t="s">
        <v>15</v>
      </c>
      <c r="F541" t="s">
        <v>24</v>
      </c>
      <c r="G541" t="s">
        <v>26</v>
      </c>
      <c r="H541">
        <v>4</v>
      </c>
      <c r="I541">
        <v>8864</v>
      </c>
      <c r="J541">
        <v>5795.0132875729496</v>
      </c>
      <c r="K541" t="str">
        <f>IF(AND(data_tab[[#This Row],[Revenue]]="",data_tab[[#This Row],[Cost]]=""),"Remove",IF(OR(data_tab[[#This Row],[Revenue]]="",data_tab[[#This Row],[Cost]]=""),"Flag","Valid"))</f>
        <v>Valid</v>
      </c>
      <c r="L541" t="str">
        <f>IF((COUNTIFS(data_tab[Revenue],data_tab[[#This Row],[Revenue]],data_tab[Cost],data_tab[[#This Row],[Cost]]))&gt;1,"Duplicate","Unique")</f>
        <v>Unique</v>
      </c>
      <c r="M541">
        <f>data_tab[[#This Row],[Revenue]]-data_tab[[#This Row],[Cost]]</f>
        <v>3068.9867124270504</v>
      </c>
      <c r="N541" t="str">
        <f>IF(data_tab[[#This Row],[Revenue]]&lt;0,"Return","Sale")</f>
        <v>Sale</v>
      </c>
    </row>
    <row r="542" spans="1:14">
      <c r="A542" s="1">
        <v>46160</v>
      </c>
      <c r="B542">
        <f>MONTH(data_tab[[#This Row],[Order Date]])</f>
        <v>5</v>
      </c>
      <c r="C542">
        <f>YEAR(data_tab[[#This Row],[Order Date]])</f>
        <v>2026</v>
      </c>
      <c r="D542" t="s">
        <v>14</v>
      </c>
      <c r="E542" t="s">
        <v>15</v>
      </c>
      <c r="F542" t="s">
        <v>16</v>
      </c>
      <c r="G542" t="s">
        <v>33</v>
      </c>
      <c r="H542">
        <v>1</v>
      </c>
      <c r="I542">
        <v>43436</v>
      </c>
      <c r="J542">
        <v>39040.551251147597</v>
      </c>
      <c r="K542" t="str">
        <f>IF(AND(data_tab[[#This Row],[Revenue]]="",data_tab[[#This Row],[Cost]]=""),"Remove",IF(OR(data_tab[[#This Row],[Revenue]]="",data_tab[[#This Row],[Cost]]=""),"Flag","Valid"))</f>
        <v>Valid</v>
      </c>
      <c r="L542" t="str">
        <f>IF((COUNTIFS(data_tab[Revenue],data_tab[[#This Row],[Revenue]],data_tab[Cost],data_tab[[#This Row],[Cost]]))&gt;1,"Duplicate","Unique")</f>
        <v>Unique</v>
      </c>
      <c r="M542">
        <f>data_tab[[#This Row],[Revenue]]-data_tab[[#This Row],[Cost]]</f>
        <v>4395.4487488524028</v>
      </c>
      <c r="N542" t="str">
        <f>IF(data_tab[[#This Row],[Revenue]]&lt;0,"Return","Sale")</f>
        <v>Sale</v>
      </c>
    </row>
    <row r="543" spans="1:14" hidden="1">
      <c r="A543" s="1">
        <v>46110</v>
      </c>
      <c r="B543">
        <f>MONTH(data_tab[[#This Row],[Order Date]])</f>
        <v>3</v>
      </c>
      <c r="C543">
        <f>YEAR(data_tab[[#This Row],[Order Date]])</f>
        <v>2026</v>
      </c>
      <c r="D543" t="s">
        <v>29</v>
      </c>
      <c r="E543" t="s">
        <v>15</v>
      </c>
      <c r="F543" t="s">
        <v>16</v>
      </c>
      <c r="G543" t="s">
        <v>41</v>
      </c>
      <c r="H543">
        <v>4</v>
      </c>
      <c r="I543">
        <v>54296</v>
      </c>
      <c r="J543">
        <v>39190.320083926599</v>
      </c>
      <c r="K543" t="str">
        <f>IF(AND(data_tab[[#This Row],[Revenue]]="",data_tab[[#This Row],[Cost]]=""),"Remove",IF(OR(data_tab[[#This Row],[Revenue]]="",data_tab[[#This Row],[Cost]]=""),"Flag","Valid"))</f>
        <v>Valid</v>
      </c>
      <c r="L543" t="str">
        <f>IF((COUNTIFS(data_tab[Revenue],data_tab[[#This Row],[Revenue]],data_tab[Cost],data_tab[[#This Row],[Cost]]))&gt;1,"Duplicate","Unique")</f>
        <v>Unique</v>
      </c>
      <c r="M543">
        <f>data_tab[[#This Row],[Revenue]]-data_tab[[#This Row],[Cost]]</f>
        <v>15105.679916073401</v>
      </c>
      <c r="N543" t="str">
        <f>IF(data_tab[[#This Row],[Revenue]]&lt;0,"Return","Sale")</f>
        <v>Sale</v>
      </c>
    </row>
    <row r="544" spans="1:14" hidden="1">
      <c r="A544" s="1">
        <v>46122</v>
      </c>
      <c r="B544">
        <f>MONTH(data_tab[[#This Row],[Order Date]])</f>
        <v>4</v>
      </c>
      <c r="C544">
        <f>YEAR(data_tab[[#This Row],[Order Date]])</f>
        <v>2026</v>
      </c>
      <c r="D544" t="s">
        <v>35</v>
      </c>
      <c r="E544" t="s">
        <v>32</v>
      </c>
      <c r="F544" t="s">
        <v>36</v>
      </c>
      <c r="G544" t="s">
        <v>39</v>
      </c>
      <c r="H544">
        <v>8</v>
      </c>
      <c r="I544">
        <v>115328</v>
      </c>
      <c r="J544">
        <v>64119.736296525603</v>
      </c>
      <c r="K544" t="str">
        <f>IF(AND(data_tab[[#This Row],[Revenue]]="",data_tab[[#This Row],[Cost]]=""),"Remove",IF(OR(data_tab[[#This Row],[Revenue]]="",data_tab[[#This Row],[Cost]]=""),"Flag","Valid"))</f>
        <v>Valid</v>
      </c>
      <c r="L544" t="str">
        <f>IF((COUNTIFS(data_tab[Revenue],data_tab[[#This Row],[Revenue]],data_tab[Cost],data_tab[[#This Row],[Cost]]))&gt;1,"Duplicate","Unique")</f>
        <v>Unique</v>
      </c>
      <c r="M544">
        <f>data_tab[[#This Row],[Revenue]]-data_tab[[#This Row],[Cost]]</f>
        <v>51208.263703474397</v>
      </c>
      <c r="N544" t="str">
        <f>IF(data_tab[[#This Row],[Revenue]]&lt;0,"Return","Sale")</f>
        <v>Sale</v>
      </c>
    </row>
    <row r="545" spans="1:14">
      <c r="A545" s="1">
        <v>46148</v>
      </c>
      <c r="B545">
        <f>MONTH(data_tab[[#This Row],[Order Date]])</f>
        <v>5</v>
      </c>
      <c r="C545">
        <f>YEAR(data_tab[[#This Row],[Order Date]])</f>
        <v>2026</v>
      </c>
      <c r="D545" t="s">
        <v>14</v>
      </c>
      <c r="E545" t="s">
        <v>15</v>
      </c>
      <c r="F545" t="s">
        <v>16</v>
      </c>
      <c r="G545" t="s">
        <v>33</v>
      </c>
      <c r="H545">
        <v>9</v>
      </c>
      <c r="J545">
        <v>250920.625780659</v>
      </c>
      <c r="K545" t="str">
        <f>IF(AND(data_tab[[#This Row],[Revenue]]="",data_tab[[#This Row],[Cost]]=""),"Remove",IF(OR(data_tab[[#This Row],[Revenue]]="",data_tab[[#This Row],[Cost]]=""),"Flag","Valid"))</f>
        <v>Flag</v>
      </c>
      <c r="L545" t="str">
        <f>IF((COUNTIFS(data_tab[Revenue],data_tab[[#This Row],[Revenue]],data_tab[Cost],data_tab[[#This Row],[Cost]]))&gt;1,"Duplicate","Unique")</f>
        <v>Unique</v>
      </c>
      <c r="M545">
        <f>data_tab[[#This Row],[Revenue]]-data_tab[[#This Row],[Cost]]</f>
        <v>-250920.625780659</v>
      </c>
      <c r="N545" t="str">
        <f>IF(data_tab[[#This Row],[Revenue]]&lt;0,"Return","Sale")</f>
        <v>Sale</v>
      </c>
    </row>
    <row r="546" spans="1:14" hidden="1">
      <c r="A546" s="1">
        <v>46033</v>
      </c>
      <c r="B546">
        <f>MONTH(data_tab[[#This Row],[Order Date]])</f>
        <v>1</v>
      </c>
      <c r="C546">
        <f>YEAR(data_tab[[#This Row],[Order Date]])</f>
        <v>2026</v>
      </c>
      <c r="D546" t="s">
        <v>14</v>
      </c>
      <c r="E546" t="s">
        <v>15</v>
      </c>
      <c r="F546" t="s">
        <v>36</v>
      </c>
      <c r="G546" t="s">
        <v>41</v>
      </c>
      <c r="H546">
        <v>9</v>
      </c>
      <c r="I546">
        <v>105849</v>
      </c>
      <c r="J546">
        <v>84300.324063644293</v>
      </c>
      <c r="K546" t="str">
        <f>IF(AND(data_tab[[#This Row],[Revenue]]="",data_tab[[#This Row],[Cost]]=""),"Remove",IF(OR(data_tab[[#This Row],[Revenue]]="",data_tab[[#This Row],[Cost]]=""),"Flag","Valid"))</f>
        <v>Valid</v>
      </c>
      <c r="L546" t="str">
        <f>IF((COUNTIFS(data_tab[Revenue],data_tab[[#This Row],[Revenue]],data_tab[Cost],data_tab[[#This Row],[Cost]]))&gt;1,"Duplicate","Unique")</f>
        <v>Unique</v>
      </c>
      <c r="M546">
        <f>data_tab[[#This Row],[Revenue]]-data_tab[[#This Row],[Cost]]</f>
        <v>21548.675936355707</v>
      </c>
      <c r="N546" t="str">
        <f>IF(data_tab[[#This Row],[Revenue]]&lt;0,"Return","Sale")</f>
        <v>Sale</v>
      </c>
    </row>
    <row r="547" spans="1:14">
      <c r="A547" s="1">
        <v>46148</v>
      </c>
      <c r="B547">
        <f>MONTH(data_tab[[#This Row],[Order Date]])</f>
        <v>5</v>
      </c>
      <c r="C547">
        <f>YEAR(data_tab[[#This Row],[Order Date]])</f>
        <v>2026</v>
      </c>
      <c r="D547" t="s">
        <v>40</v>
      </c>
      <c r="E547" t="s">
        <v>15</v>
      </c>
      <c r="F547" t="s">
        <v>24</v>
      </c>
      <c r="G547" t="s">
        <v>17</v>
      </c>
      <c r="H547">
        <v>3</v>
      </c>
      <c r="J547">
        <v>5019.4012024163303</v>
      </c>
      <c r="K547" t="str">
        <f>IF(AND(data_tab[[#This Row],[Revenue]]="",data_tab[[#This Row],[Cost]]=""),"Remove",IF(OR(data_tab[[#This Row],[Revenue]]="",data_tab[[#This Row],[Cost]]=""),"Flag","Valid"))</f>
        <v>Flag</v>
      </c>
      <c r="L547" t="str">
        <f>IF((COUNTIFS(data_tab[Revenue],data_tab[[#This Row],[Revenue]],data_tab[Cost],data_tab[[#This Row],[Cost]]))&gt;1,"Duplicate","Unique")</f>
        <v>Unique</v>
      </c>
      <c r="M547">
        <f>data_tab[[#This Row],[Revenue]]-data_tab[[#This Row],[Cost]]</f>
        <v>-5019.4012024163303</v>
      </c>
      <c r="N547" t="str">
        <f>IF(data_tab[[#This Row],[Revenue]]&lt;0,"Return","Sale")</f>
        <v>Sale</v>
      </c>
    </row>
    <row r="548" spans="1:14" hidden="1">
      <c r="A548" s="1">
        <v>46139</v>
      </c>
      <c r="B548">
        <f>MONTH(data_tab[[#This Row],[Order Date]])</f>
        <v>4</v>
      </c>
      <c r="C548">
        <f>YEAR(data_tab[[#This Row],[Order Date]])</f>
        <v>2026</v>
      </c>
      <c r="D548" t="s">
        <v>20</v>
      </c>
      <c r="E548" t="s">
        <v>15</v>
      </c>
      <c r="F548" t="s">
        <v>24</v>
      </c>
      <c r="G548" t="s">
        <v>39</v>
      </c>
      <c r="H548">
        <v>8</v>
      </c>
      <c r="I548">
        <v>327936</v>
      </c>
      <c r="J548">
        <v>268799.33028459101</v>
      </c>
      <c r="K548" t="str">
        <f>IF(AND(data_tab[[#This Row],[Revenue]]="",data_tab[[#This Row],[Cost]]=""),"Remove",IF(OR(data_tab[[#This Row],[Revenue]]="",data_tab[[#This Row],[Cost]]=""),"Flag","Valid"))</f>
        <v>Valid</v>
      </c>
      <c r="L548" t="str">
        <f>IF((COUNTIFS(data_tab[Revenue],data_tab[[#This Row],[Revenue]],data_tab[Cost],data_tab[[#This Row],[Cost]]))&gt;1,"Duplicate","Unique")</f>
        <v>Unique</v>
      </c>
      <c r="M548">
        <f>data_tab[[#This Row],[Revenue]]-data_tab[[#This Row],[Cost]]</f>
        <v>59136.669715408992</v>
      </c>
      <c r="N548" t="str">
        <f>IF(data_tab[[#This Row],[Revenue]]&lt;0,"Return","Sale")</f>
        <v>Sale</v>
      </c>
    </row>
    <row r="549" spans="1:14" hidden="1">
      <c r="A549" s="1">
        <v>46196</v>
      </c>
      <c r="B549">
        <f>MONTH(data_tab[[#This Row],[Order Date]])</f>
        <v>6</v>
      </c>
      <c r="C549">
        <f>YEAR(data_tab[[#This Row],[Order Date]])</f>
        <v>2026</v>
      </c>
      <c r="D549" t="s">
        <v>14</v>
      </c>
      <c r="E549" t="s">
        <v>15</v>
      </c>
      <c r="F549" t="s">
        <v>21</v>
      </c>
      <c r="G549" t="s">
        <v>37</v>
      </c>
      <c r="H549">
        <v>4</v>
      </c>
      <c r="I549">
        <v>19948</v>
      </c>
      <c r="J549">
        <v>14706.345851063499</v>
      </c>
      <c r="K549" t="str">
        <f>IF(AND(data_tab[[#This Row],[Revenue]]="",data_tab[[#This Row],[Cost]]=""),"Remove",IF(OR(data_tab[[#This Row],[Revenue]]="",data_tab[[#This Row],[Cost]]=""),"Flag","Valid"))</f>
        <v>Valid</v>
      </c>
      <c r="L549" t="str">
        <f>IF((COUNTIFS(data_tab[Revenue],data_tab[[#This Row],[Revenue]],data_tab[Cost],data_tab[[#This Row],[Cost]]))&gt;1,"Duplicate","Unique")</f>
        <v>Unique</v>
      </c>
      <c r="M549">
        <f>data_tab[[#This Row],[Revenue]]-data_tab[[#This Row],[Cost]]</f>
        <v>5241.6541489365009</v>
      </c>
      <c r="N549" t="str">
        <f>IF(data_tab[[#This Row],[Revenue]]&lt;0,"Return","Sale")</f>
        <v>Sale</v>
      </c>
    </row>
    <row r="550" spans="1:14" hidden="1">
      <c r="A550" s="1">
        <v>46129</v>
      </c>
      <c r="B550">
        <f>MONTH(data_tab[[#This Row],[Order Date]])</f>
        <v>4</v>
      </c>
      <c r="C550">
        <f>YEAR(data_tab[[#This Row],[Order Date]])</f>
        <v>2026</v>
      </c>
      <c r="D550" t="s">
        <v>35</v>
      </c>
      <c r="E550" t="s">
        <v>32</v>
      </c>
      <c r="F550" t="s">
        <v>21</v>
      </c>
      <c r="G550" t="s">
        <v>33</v>
      </c>
      <c r="H550">
        <v>4</v>
      </c>
      <c r="I550">
        <v>160564</v>
      </c>
      <c r="J550">
        <v>82895.9109097318</v>
      </c>
      <c r="K550" t="str">
        <f>IF(AND(data_tab[[#This Row],[Revenue]]="",data_tab[[#This Row],[Cost]]=""),"Remove",IF(OR(data_tab[[#This Row],[Revenue]]="",data_tab[[#This Row],[Cost]]=""),"Flag","Valid"))</f>
        <v>Valid</v>
      </c>
      <c r="L550" t="str">
        <f>IF((COUNTIFS(data_tab[Revenue],data_tab[[#This Row],[Revenue]],data_tab[Cost],data_tab[[#This Row],[Cost]]))&gt;1,"Duplicate","Unique")</f>
        <v>Unique</v>
      </c>
      <c r="M550">
        <f>data_tab[[#This Row],[Revenue]]-data_tab[[#This Row],[Cost]]</f>
        <v>77668.0890902682</v>
      </c>
      <c r="N550" t="str">
        <f>IF(data_tab[[#This Row],[Revenue]]&lt;0,"Return","Sale")</f>
        <v>Sale</v>
      </c>
    </row>
    <row r="551" spans="1:14" hidden="1">
      <c r="A551" s="1">
        <v>46297</v>
      </c>
      <c r="B551">
        <f>MONTH(data_tab[[#This Row],[Order Date]])</f>
        <v>10</v>
      </c>
      <c r="C551">
        <f>YEAR(data_tab[[#This Row],[Order Date]])</f>
        <v>2026</v>
      </c>
      <c r="D551" t="s">
        <v>29</v>
      </c>
      <c r="E551" t="s">
        <v>15</v>
      </c>
      <c r="F551" t="s">
        <v>24</v>
      </c>
      <c r="G551" t="s">
        <v>39</v>
      </c>
      <c r="H551">
        <v>1</v>
      </c>
      <c r="I551">
        <v>13758</v>
      </c>
      <c r="J551">
        <v>11975.716897816599</v>
      </c>
      <c r="K551" t="str">
        <f>IF(AND(data_tab[[#This Row],[Revenue]]="",data_tab[[#This Row],[Cost]]=""),"Remove",IF(OR(data_tab[[#This Row],[Revenue]]="",data_tab[[#This Row],[Cost]]=""),"Flag","Valid"))</f>
        <v>Valid</v>
      </c>
      <c r="L551" t="str">
        <f>IF((COUNTIFS(data_tab[Revenue],data_tab[[#This Row],[Revenue]],data_tab[Cost],data_tab[[#This Row],[Cost]]))&gt;1,"Duplicate","Unique")</f>
        <v>Duplicate</v>
      </c>
      <c r="M551">
        <f>data_tab[[#This Row],[Revenue]]-data_tab[[#This Row],[Cost]]</f>
        <v>1782.2831021834008</v>
      </c>
      <c r="N551" t="str">
        <f>IF(data_tab[[#This Row],[Revenue]]&lt;0,"Return","Sale")</f>
        <v>Sale</v>
      </c>
    </row>
    <row r="552" spans="1:14" hidden="1">
      <c r="A552" s="1">
        <v>46200</v>
      </c>
      <c r="B552">
        <f>MONTH(data_tab[[#This Row],[Order Date]])</f>
        <v>6</v>
      </c>
      <c r="C552">
        <f>YEAR(data_tab[[#This Row],[Order Date]])</f>
        <v>2026</v>
      </c>
      <c r="D552" t="s">
        <v>14</v>
      </c>
      <c r="E552" t="s">
        <v>15</v>
      </c>
      <c r="F552" t="s">
        <v>21</v>
      </c>
      <c r="G552" t="s">
        <v>17</v>
      </c>
      <c r="H552">
        <v>3</v>
      </c>
      <c r="I552">
        <v>131793</v>
      </c>
      <c r="J552">
        <v>80180.212033409407</v>
      </c>
      <c r="K552" t="str">
        <f>IF(AND(data_tab[[#This Row],[Revenue]]="",data_tab[[#This Row],[Cost]]=""),"Remove",IF(OR(data_tab[[#This Row],[Revenue]]="",data_tab[[#This Row],[Cost]]=""),"Flag","Valid"))</f>
        <v>Valid</v>
      </c>
      <c r="L552" t="str">
        <f>IF((COUNTIFS(data_tab[Revenue],data_tab[[#This Row],[Revenue]],data_tab[Cost],data_tab[[#This Row],[Cost]]))&gt;1,"Duplicate","Unique")</f>
        <v>Unique</v>
      </c>
      <c r="M552">
        <f>data_tab[[#This Row],[Revenue]]-data_tab[[#This Row],[Cost]]</f>
        <v>51612.787966590593</v>
      </c>
      <c r="N552" t="str">
        <f>IF(data_tab[[#This Row],[Revenue]]&lt;0,"Return","Sale")</f>
        <v>Sale</v>
      </c>
    </row>
    <row r="553" spans="1:14" hidden="1">
      <c r="A553" s="1">
        <v>46200</v>
      </c>
      <c r="B553">
        <f>MONTH(data_tab[[#This Row],[Order Date]])</f>
        <v>6</v>
      </c>
      <c r="C553">
        <f>YEAR(data_tab[[#This Row],[Order Date]])</f>
        <v>2026</v>
      </c>
      <c r="D553" t="s">
        <v>31</v>
      </c>
      <c r="E553" t="s">
        <v>32</v>
      </c>
      <c r="F553" t="s">
        <v>36</v>
      </c>
      <c r="G553" t="s">
        <v>26</v>
      </c>
      <c r="H553">
        <v>2</v>
      </c>
      <c r="I553">
        <v>86206</v>
      </c>
      <c r="J553">
        <v>71602.138027320296</v>
      </c>
      <c r="K553" t="str">
        <f>IF(AND(data_tab[[#This Row],[Revenue]]="",data_tab[[#This Row],[Cost]]=""),"Remove",IF(OR(data_tab[[#This Row],[Revenue]]="",data_tab[[#This Row],[Cost]]=""),"Flag","Valid"))</f>
        <v>Valid</v>
      </c>
      <c r="L553" t="str">
        <f>IF((COUNTIFS(data_tab[Revenue],data_tab[[#This Row],[Revenue]],data_tab[Cost],data_tab[[#This Row],[Cost]]))&gt;1,"Duplicate","Unique")</f>
        <v>Unique</v>
      </c>
      <c r="M553">
        <f>data_tab[[#This Row],[Revenue]]-data_tab[[#This Row],[Cost]]</f>
        <v>14603.861972679704</v>
      </c>
      <c r="N553" t="str">
        <f>IF(data_tab[[#This Row],[Revenue]]&lt;0,"Return","Sale")</f>
        <v>Sale</v>
      </c>
    </row>
    <row r="554" spans="1:14" hidden="1">
      <c r="A554" s="1">
        <v>46072</v>
      </c>
      <c r="B554">
        <f>MONTH(data_tab[[#This Row],[Order Date]])</f>
        <v>2</v>
      </c>
      <c r="C554">
        <f>YEAR(data_tab[[#This Row],[Order Date]])</f>
        <v>2026</v>
      </c>
      <c r="D554" t="s">
        <v>40</v>
      </c>
      <c r="E554" t="s">
        <v>15</v>
      </c>
      <c r="F554" t="s">
        <v>24</v>
      </c>
      <c r="G554" t="s">
        <v>26</v>
      </c>
      <c r="H554">
        <v>6</v>
      </c>
      <c r="I554">
        <v>224226</v>
      </c>
      <c r="J554">
        <v>157634.53347644</v>
      </c>
      <c r="K554" t="str">
        <f>IF(AND(data_tab[[#This Row],[Revenue]]="",data_tab[[#This Row],[Cost]]=""),"Remove",IF(OR(data_tab[[#This Row],[Revenue]]="",data_tab[[#This Row],[Cost]]=""),"Flag","Valid"))</f>
        <v>Valid</v>
      </c>
      <c r="L554" t="str">
        <f>IF((COUNTIFS(data_tab[Revenue],data_tab[[#This Row],[Revenue]],data_tab[Cost],data_tab[[#This Row],[Cost]]))&gt;1,"Duplicate","Unique")</f>
        <v>Unique</v>
      </c>
      <c r="M554">
        <f>data_tab[[#This Row],[Revenue]]-data_tab[[#This Row],[Cost]]</f>
        <v>66591.466523559997</v>
      </c>
      <c r="N554" t="str">
        <f>IF(data_tab[[#This Row],[Revenue]]&lt;0,"Return","Sale")</f>
        <v>Sale</v>
      </c>
    </row>
    <row r="555" spans="1:14" hidden="1">
      <c r="A555" s="1">
        <v>46036</v>
      </c>
      <c r="B555">
        <f>MONTH(data_tab[[#This Row],[Order Date]])</f>
        <v>1</v>
      </c>
      <c r="C555">
        <f>YEAR(data_tab[[#This Row],[Order Date]])</f>
        <v>2026</v>
      </c>
      <c r="D555" t="s">
        <v>23</v>
      </c>
      <c r="E555" t="s">
        <v>15</v>
      </c>
      <c r="F555" t="s">
        <v>21</v>
      </c>
      <c r="G555" t="s">
        <v>41</v>
      </c>
      <c r="H555">
        <v>8</v>
      </c>
      <c r="I555">
        <v>276840</v>
      </c>
      <c r="K555" t="str">
        <f>IF(AND(data_tab[[#This Row],[Revenue]]="",data_tab[[#This Row],[Cost]]=""),"Remove",IF(OR(data_tab[[#This Row],[Revenue]]="",data_tab[[#This Row],[Cost]]=""),"Flag","Valid"))</f>
        <v>Flag</v>
      </c>
      <c r="L555" t="str">
        <f>IF((COUNTIFS(data_tab[Revenue],data_tab[[#This Row],[Revenue]],data_tab[Cost],data_tab[[#This Row],[Cost]]))&gt;1,"Duplicate","Unique")</f>
        <v>Unique</v>
      </c>
      <c r="M555">
        <f>data_tab[[#This Row],[Revenue]]-data_tab[[#This Row],[Cost]]</f>
        <v>276840</v>
      </c>
      <c r="N555" t="str">
        <f>IF(data_tab[[#This Row],[Revenue]]&lt;0,"Return","Sale")</f>
        <v>Sale</v>
      </c>
    </row>
    <row r="556" spans="1:14" hidden="1">
      <c r="A556" s="1">
        <v>46095</v>
      </c>
      <c r="B556">
        <f>MONTH(data_tab[[#This Row],[Order Date]])</f>
        <v>3</v>
      </c>
      <c r="C556">
        <f>YEAR(data_tab[[#This Row],[Order Date]])</f>
        <v>2026</v>
      </c>
      <c r="D556" t="s">
        <v>40</v>
      </c>
      <c r="E556" t="s">
        <v>15</v>
      </c>
      <c r="F556" t="s">
        <v>36</v>
      </c>
      <c r="G556" t="s">
        <v>39</v>
      </c>
      <c r="H556">
        <v>2</v>
      </c>
      <c r="I556">
        <v>10874</v>
      </c>
      <c r="J556">
        <v>9459.7769093372208</v>
      </c>
      <c r="K556" t="str">
        <f>IF(AND(data_tab[[#This Row],[Revenue]]="",data_tab[[#This Row],[Cost]]=""),"Remove",IF(OR(data_tab[[#This Row],[Revenue]]="",data_tab[[#This Row],[Cost]]=""),"Flag","Valid"))</f>
        <v>Valid</v>
      </c>
      <c r="L556" t="str">
        <f>IF((COUNTIFS(data_tab[Revenue],data_tab[[#This Row],[Revenue]],data_tab[Cost],data_tab[[#This Row],[Cost]]))&gt;1,"Duplicate","Unique")</f>
        <v>Unique</v>
      </c>
      <c r="M556">
        <f>data_tab[[#This Row],[Revenue]]-data_tab[[#This Row],[Cost]]</f>
        <v>1414.2230906627792</v>
      </c>
      <c r="N556" t="str">
        <f>IF(data_tab[[#This Row],[Revenue]]&lt;0,"Return","Sale")</f>
        <v>Sale</v>
      </c>
    </row>
    <row r="557" spans="1:14" hidden="1">
      <c r="A557" s="1">
        <v>46052</v>
      </c>
      <c r="B557">
        <f>MONTH(data_tab[[#This Row],[Order Date]])</f>
        <v>1</v>
      </c>
      <c r="C557">
        <f>YEAR(data_tab[[#This Row],[Order Date]])</f>
        <v>2026</v>
      </c>
      <c r="D557" t="s">
        <v>31</v>
      </c>
      <c r="E557" t="s">
        <v>32</v>
      </c>
      <c r="F557" t="s">
        <v>36</v>
      </c>
      <c r="G557" t="s">
        <v>26</v>
      </c>
      <c r="H557">
        <v>10</v>
      </c>
      <c r="I557">
        <v>233620</v>
      </c>
      <c r="J557">
        <v>155970.90518740501</v>
      </c>
      <c r="K557" t="str">
        <f>IF(AND(data_tab[[#This Row],[Revenue]]="",data_tab[[#This Row],[Cost]]=""),"Remove",IF(OR(data_tab[[#This Row],[Revenue]]="",data_tab[[#This Row],[Cost]]=""),"Flag","Valid"))</f>
        <v>Valid</v>
      </c>
      <c r="L557" t="str">
        <f>IF((COUNTIFS(data_tab[Revenue],data_tab[[#This Row],[Revenue]],data_tab[Cost],data_tab[[#This Row],[Cost]]))&gt;1,"Duplicate","Unique")</f>
        <v>Unique</v>
      </c>
      <c r="M557">
        <f>data_tab[[#This Row],[Revenue]]-data_tab[[#This Row],[Cost]]</f>
        <v>77649.094812594994</v>
      </c>
      <c r="N557" t="str">
        <f>IF(data_tab[[#This Row],[Revenue]]&lt;0,"Return","Sale")</f>
        <v>Sale</v>
      </c>
    </row>
    <row r="558" spans="1:14" hidden="1">
      <c r="A558" s="1">
        <v>46051</v>
      </c>
      <c r="B558">
        <f>MONTH(data_tab[[#This Row],[Order Date]])</f>
        <v>1</v>
      </c>
      <c r="C558">
        <f>YEAR(data_tab[[#This Row],[Order Date]])</f>
        <v>2026</v>
      </c>
      <c r="D558" t="s">
        <v>14</v>
      </c>
      <c r="E558" t="s">
        <v>15</v>
      </c>
      <c r="F558" t="s">
        <v>36</v>
      </c>
      <c r="G558" t="s">
        <v>17</v>
      </c>
      <c r="H558">
        <v>7</v>
      </c>
      <c r="I558">
        <v>115227</v>
      </c>
      <c r="J558">
        <v>61002.543451034398</v>
      </c>
      <c r="K558" t="str">
        <f>IF(AND(data_tab[[#This Row],[Revenue]]="",data_tab[[#This Row],[Cost]]=""),"Remove",IF(OR(data_tab[[#This Row],[Revenue]]="",data_tab[[#This Row],[Cost]]=""),"Flag","Valid"))</f>
        <v>Valid</v>
      </c>
      <c r="L558" t="str">
        <f>IF((COUNTIFS(data_tab[Revenue],data_tab[[#This Row],[Revenue]],data_tab[Cost],data_tab[[#This Row],[Cost]]))&gt;1,"Duplicate","Unique")</f>
        <v>Unique</v>
      </c>
      <c r="M558">
        <f>data_tab[[#This Row],[Revenue]]-data_tab[[#This Row],[Cost]]</f>
        <v>54224.456548965602</v>
      </c>
      <c r="N558" t="str">
        <f>IF(data_tab[[#This Row],[Revenue]]&lt;0,"Return","Sale")</f>
        <v>Sale</v>
      </c>
    </row>
    <row r="559" spans="1:14" hidden="1">
      <c r="A559" s="1">
        <v>46078</v>
      </c>
      <c r="B559">
        <f>MONTH(data_tab[[#This Row],[Order Date]])</f>
        <v>2</v>
      </c>
      <c r="C559">
        <f>YEAR(data_tab[[#This Row],[Order Date]])</f>
        <v>2026</v>
      </c>
      <c r="D559" t="s">
        <v>29</v>
      </c>
      <c r="E559" t="s">
        <v>15</v>
      </c>
      <c r="F559" t="s">
        <v>16</v>
      </c>
      <c r="G559" t="s">
        <v>17</v>
      </c>
      <c r="H559">
        <v>8</v>
      </c>
      <c r="I559">
        <v>393392</v>
      </c>
      <c r="J559">
        <v>227247.59737222199</v>
      </c>
      <c r="K559" t="str">
        <f>IF(AND(data_tab[[#This Row],[Revenue]]="",data_tab[[#This Row],[Cost]]=""),"Remove",IF(OR(data_tab[[#This Row],[Revenue]]="",data_tab[[#This Row],[Cost]]=""),"Flag","Valid"))</f>
        <v>Valid</v>
      </c>
      <c r="L559" t="str">
        <f>IF((COUNTIFS(data_tab[Revenue],data_tab[[#This Row],[Revenue]],data_tab[Cost],data_tab[[#This Row],[Cost]]))&gt;1,"Duplicate","Unique")</f>
        <v>Unique</v>
      </c>
      <c r="M559">
        <f>data_tab[[#This Row],[Revenue]]-data_tab[[#This Row],[Cost]]</f>
        <v>166144.40262777801</v>
      </c>
      <c r="N559" t="str">
        <f>IF(data_tab[[#This Row],[Revenue]]&lt;0,"Return","Sale")</f>
        <v>Sale</v>
      </c>
    </row>
    <row r="560" spans="1:14" hidden="1">
      <c r="A560" s="1">
        <v>46031</v>
      </c>
      <c r="B560">
        <f>MONTH(data_tab[[#This Row],[Order Date]])</f>
        <v>1</v>
      </c>
      <c r="C560">
        <f>YEAR(data_tab[[#This Row],[Order Date]])</f>
        <v>2026</v>
      </c>
      <c r="D560" t="s">
        <v>31</v>
      </c>
      <c r="E560" t="s">
        <v>32</v>
      </c>
      <c r="F560" t="s">
        <v>24</v>
      </c>
      <c r="G560" t="s">
        <v>33</v>
      </c>
      <c r="H560">
        <v>8</v>
      </c>
      <c r="I560">
        <v>235264</v>
      </c>
      <c r="J560">
        <v>133743.002630426</v>
      </c>
      <c r="K560" t="str">
        <f>IF(AND(data_tab[[#This Row],[Revenue]]="",data_tab[[#This Row],[Cost]]=""),"Remove",IF(OR(data_tab[[#This Row],[Revenue]]="",data_tab[[#This Row],[Cost]]=""),"Flag","Valid"))</f>
        <v>Valid</v>
      </c>
      <c r="L560" t="str">
        <f>IF((COUNTIFS(data_tab[Revenue],data_tab[[#This Row],[Revenue]],data_tab[Cost],data_tab[[#This Row],[Cost]]))&gt;1,"Duplicate","Unique")</f>
        <v>Unique</v>
      </c>
      <c r="M560">
        <f>data_tab[[#This Row],[Revenue]]-data_tab[[#This Row],[Cost]]</f>
        <v>101520.997369574</v>
      </c>
      <c r="N560" t="str">
        <f>IF(data_tab[[#This Row],[Revenue]]&lt;0,"Return","Sale")</f>
        <v>Sale</v>
      </c>
    </row>
    <row r="561" spans="1:14" hidden="1">
      <c r="A561" s="1">
        <v>46186</v>
      </c>
      <c r="B561">
        <f>MONTH(data_tab[[#This Row],[Order Date]])</f>
        <v>6</v>
      </c>
      <c r="C561">
        <f>YEAR(data_tab[[#This Row],[Order Date]])</f>
        <v>2026</v>
      </c>
      <c r="D561" t="s">
        <v>40</v>
      </c>
      <c r="E561" t="s">
        <v>15</v>
      </c>
      <c r="F561" t="s">
        <v>21</v>
      </c>
      <c r="G561" t="s">
        <v>39</v>
      </c>
      <c r="H561">
        <v>7</v>
      </c>
      <c r="I561">
        <v>253358</v>
      </c>
      <c r="J561">
        <v>176257.451293185</v>
      </c>
      <c r="K561" t="str">
        <f>IF(AND(data_tab[[#This Row],[Revenue]]="",data_tab[[#This Row],[Cost]]=""),"Remove",IF(OR(data_tab[[#This Row],[Revenue]]="",data_tab[[#This Row],[Cost]]=""),"Flag","Valid"))</f>
        <v>Valid</v>
      </c>
      <c r="L561" t="str">
        <f>IF((COUNTIFS(data_tab[Revenue],data_tab[[#This Row],[Revenue]],data_tab[Cost],data_tab[[#This Row],[Cost]]))&gt;1,"Duplicate","Unique")</f>
        <v>Unique</v>
      </c>
      <c r="M561">
        <f>data_tab[[#This Row],[Revenue]]-data_tab[[#This Row],[Cost]]</f>
        <v>77100.548706814996</v>
      </c>
      <c r="N561" t="str">
        <f>IF(data_tab[[#This Row],[Revenue]]&lt;0,"Return","Sale")</f>
        <v>Sale</v>
      </c>
    </row>
    <row r="562" spans="1:14" hidden="1">
      <c r="A562" s="1">
        <v>46094</v>
      </c>
      <c r="B562">
        <f>MONTH(data_tab[[#This Row],[Order Date]])</f>
        <v>3</v>
      </c>
      <c r="C562">
        <f>YEAR(data_tab[[#This Row],[Order Date]])</f>
        <v>2026</v>
      </c>
      <c r="D562" t="s">
        <v>29</v>
      </c>
      <c r="E562" t="s">
        <v>15</v>
      </c>
      <c r="F562" t="s">
        <v>21</v>
      </c>
      <c r="G562" t="s">
        <v>17</v>
      </c>
      <c r="H562">
        <v>6</v>
      </c>
      <c r="I562">
        <v>182748</v>
      </c>
      <c r="J562">
        <v>133732.57632204401</v>
      </c>
      <c r="K562" t="str">
        <f>IF(AND(data_tab[[#This Row],[Revenue]]="",data_tab[[#This Row],[Cost]]=""),"Remove",IF(OR(data_tab[[#This Row],[Revenue]]="",data_tab[[#This Row],[Cost]]=""),"Flag","Valid"))</f>
        <v>Valid</v>
      </c>
      <c r="L562" t="str">
        <f>IF((COUNTIFS(data_tab[Revenue],data_tab[[#This Row],[Revenue]],data_tab[Cost],data_tab[[#This Row],[Cost]]))&gt;1,"Duplicate","Unique")</f>
        <v>Unique</v>
      </c>
      <c r="M562">
        <f>data_tab[[#This Row],[Revenue]]-data_tab[[#This Row],[Cost]]</f>
        <v>49015.423677955987</v>
      </c>
      <c r="N562" t="str">
        <f>IF(data_tab[[#This Row],[Revenue]]&lt;0,"Return","Sale")</f>
        <v>Sale</v>
      </c>
    </row>
    <row r="563" spans="1:14">
      <c r="A563" s="1">
        <v>46169</v>
      </c>
      <c r="B563">
        <f>MONTH(data_tab[[#This Row],[Order Date]])</f>
        <v>5</v>
      </c>
      <c r="C563">
        <f>YEAR(data_tab[[#This Row],[Order Date]])</f>
        <v>2026</v>
      </c>
      <c r="D563" t="s">
        <v>20</v>
      </c>
      <c r="E563" t="s">
        <v>15</v>
      </c>
      <c r="F563" t="s">
        <v>24</v>
      </c>
      <c r="G563" t="s">
        <v>33</v>
      </c>
      <c r="H563">
        <v>9</v>
      </c>
      <c r="I563">
        <v>37827</v>
      </c>
      <c r="J563">
        <v>25354.645904900801</v>
      </c>
      <c r="K563" t="str">
        <f>IF(AND(data_tab[[#This Row],[Revenue]]="",data_tab[[#This Row],[Cost]]=""),"Remove",IF(OR(data_tab[[#This Row],[Revenue]]="",data_tab[[#This Row],[Cost]]=""),"Flag","Valid"))</f>
        <v>Valid</v>
      </c>
      <c r="L563" t="str">
        <f>IF((COUNTIFS(data_tab[Revenue],data_tab[[#This Row],[Revenue]],data_tab[Cost],data_tab[[#This Row],[Cost]]))&gt;1,"Duplicate","Unique")</f>
        <v>Unique</v>
      </c>
      <c r="M563">
        <f>data_tab[[#This Row],[Revenue]]-data_tab[[#This Row],[Cost]]</f>
        <v>12472.354095099199</v>
      </c>
      <c r="N563" t="str">
        <f>IF(data_tab[[#This Row],[Revenue]]&lt;0,"Return","Sale")</f>
        <v>Sale</v>
      </c>
    </row>
    <row r="564" spans="1:14" hidden="1">
      <c r="A564" s="1">
        <v>46048</v>
      </c>
      <c r="B564">
        <f>MONTH(data_tab[[#This Row],[Order Date]])</f>
        <v>1</v>
      </c>
      <c r="C564">
        <f>YEAR(data_tab[[#This Row],[Order Date]])</f>
        <v>2026</v>
      </c>
      <c r="D564" t="s">
        <v>40</v>
      </c>
      <c r="E564" t="s">
        <v>15</v>
      </c>
      <c r="F564" t="s">
        <v>24</v>
      </c>
      <c r="G564" t="s">
        <v>41</v>
      </c>
      <c r="H564">
        <v>7</v>
      </c>
      <c r="I564">
        <v>114009</v>
      </c>
      <c r="J564">
        <v>63056.645044769197</v>
      </c>
      <c r="K564" t="str">
        <f>IF(AND(data_tab[[#This Row],[Revenue]]="",data_tab[[#This Row],[Cost]]=""),"Remove",IF(OR(data_tab[[#This Row],[Revenue]]="",data_tab[[#This Row],[Cost]]=""),"Flag","Valid"))</f>
        <v>Valid</v>
      </c>
      <c r="L564" t="str">
        <f>IF((COUNTIFS(data_tab[Revenue],data_tab[[#This Row],[Revenue]],data_tab[Cost],data_tab[[#This Row],[Cost]]))&gt;1,"Duplicate","Unique")</f>
        <v>Unique</v>
      </c>
      <c r="M564">
        <f>data_tab[[#This Row],[Revenue]]-data_tab[[#This Row],[Cost]]</f>
        <v>50952.354955230803</v>
      </c>
      <c r="N564" t="str">
        <f>IF(data_tab[[#This Row],[Revenue]]&lt;0,"Return","Sale")</f>
        <v>Sale</v>
      </c>
    </row>
    <row r="565" spans="1:14">
      <c r="A565" s="1">
        <v>46145</v>
      </c>
      <c r="B565">
        <f>MONTH(data_tab[[#This Row],[Order Date]])</f>
        <v>5</v>
      </c>
      <c r="C565">
        <f>YEAR(data_tab[[#This Row],[Order Date]])</f>
        <v>2026</v>
      </c>
      <c r="D565" t="s">
        <v>29</v>
      </c>
      <c r="E565" t="s">
        <v>15</v>
      </c>
      <c r="F565" t="s">
        <v>24</v>
      </c>
      <c r="G565" t="s">
        <v>33</v>
      </c>
      <c r="H565">
        <v>8</v>
      </c>
      <c r="I565">
        <v>88672</v>
      </c>
      <c r="J565">
        <v>75342.790839804293</v>
      </c>
      <c r="K565" t="str">
        <f>IF(AND(data_tab[[#This Row],[Revenue]]="",data_tab[[#This Row],[Cost]]=""),"Remove",IF(OR(data_tab[[#This Row],[Revenue]]="",data_tab[[#This Row],[Cost]]=""),"Flag","Valid"))</f>
        <v>Valid</v>
      </c>
      <c r="L565" t="str">
        <f>IF((COUNTIFS(data_tab[Revenue],data_tab[[#This Row],[Revenue]],data_tab[Cost],data_tab[[#This Row],[Cost]]))&gt;1,"Duplicate","Unique")</f>
        <v>Unique</v>
      </c>
      <c r="M565">
        <f>data_tab[[#This Row],[Revenue]]-data_tab[[#This Row],[Cost]]</f>
        <v>13329.209160195707</v>
      </c>
      <c r="N565" t="str">
        <f>IF(data_tab[[#This Row],[Revenue]]&lt;0,"Return","Sale")</f>
        <v>Sale</v>
      </c>
    </row>
    <row r="566" spans="1:14" hidden="1">
      <c r="A566" s="1">
        <v>46141</v>
      </c>
      <c r="B566">
        <f>MONTH(data_tab[[#This Row],[Order Date]])</f>
        <v>4</v>
      </c>
      <c r="C566">
        <f>YEAR(data_tab[[#This Row],[Order Date]])</f>
        <v>2026</v>
      </c>
      <c r="D566" t="s">
        <v>14</v>
      </c>
      <c r="E566" t="s">
        <v>15</v>
      </c>
      <c r="F566" t="s">
        <v>24</v>
      </c>
      <c r="G566" t="s">
        <v>33</v>
      </c>
      <c r="H566">
        <v>6</v>
      </c>
      <c r="I566">
        <v>220764</v>
      </c>
      <c r="J566">
        <v>113270.84488786499</v>
      </c>
      <c r="K566" t="str">
        <f>IF(AND(data_tab[[#This Row],[Revenue]]="",data_tab[[#This Row],[Cost]]=""),"Remove",IF(OR(data_tab[[#This Row],[Revenue]]="",data_tab[[#This Row],[Cost]]=""),"Flag","Valid"))</f>
        <v>Valid</v>
      </c>
      <c r="L566" t="str">
        <f>IF((COUNTIFS(data_tab[Revenue],data_tab[[#This Row],[Revenue]],data_tab[Cost],data_tab[[#This Row],[Cost]]))&gt;1,"Duplicate","Unique")</f>
        <v>Unique</v>
      </c>
      <c r="M566">
        <f>data_tab[[#This Row],[Revenue]]-data_tab[[#This Row],[Cost]]</f>
        <v>107493.15511213501</v>
      </c>
      <c r="N566" t="str">
        <f>IF(data_tab[[#This Row],[Revenue]]&lt;0,"Return","Sale")</f>
        <v>Sale</v>
      </c>
    </row>
    <row r="567" spans="1:14">
      <c r="A567" s="1">
        <v>46161</v>
      </c>
      <c r="B567">
        <f>MONTH(data_tab[[#This Row],[Order Date]])</f>
        <v>5</v>
      </c>
      <c r="C567">
        <f>YEAR(data_tab[[#This Row],[Order Date]])</f>
        <v>2026</v>
      </c>
      <c r="D567" t="s">
        <v>14</v>
      </c>
      <c r="E567" t="s">
        <v>15</v>
      </c>
      <c r="F567" t="s">
        <v>24</v>
      </c>
      <c r="G567" t="s">
        <v>26</v>
      </c>
      <c r="H567">
        <v>6</v>
      </c>
      <c r="I567">
        <v>33552</v>
      </c>
      <c r="J567">
        <v>23684.1753588838</v>
      </c>
      <c r="K567" t="str">
        <f>IF(AND(data_tab[[#This Row],[Revenue]]="",data_tab[[#This Row],[Cost]]=""),"Remove",IF(OR(data_tab[[#This Row],[Revenue]]="",data_tab[[#This Row],[Cost]]=""),"Flag","Valid"))</f>
        <v>Valid</v>
      </c>
      <c r="L567" t="str">
        <f>IF((COUNTIFS(data_tab[Revenue],data_tab[[#This Row],[Revenue]],data_tab[Cost],data_tab[[#This Row],[Cost]]))&gt;1,"Duplicate","Unique")</f>
        <v>Unique</v>
      </c>
      <c r="M567">
        <f>data_tab[[#This Row],[Revenue]]-data_tab[[#This Row],[Cost]]</f>
        <v>9867.8246411161999</v>
      </c>
      <c r="N567" t="str">
        <f>IF(data_tab[[#This Row],[Revenue]]&lt;0,"Return","Sale")</f>
        <v>Sale</v>
      </c>
    </row>
    <row r="568" spans="1:14" hidden="1">
      <c r="A568" s="1">
        <v>46121</v>
      </c>
      <c r="B568">
        <f>MONTH(data_tab[[#This Row],[Order Date]])</f>
        <v>4</v>
      </c>
      <c r="C568">
        <f>YEAR(data_tab[[#This Row],[Order Date]])</f>
        <v>2026</v>
      </c>
      <c r="D568" t="s">
        <v>35</v>
      </c>
      <c r="E568" t="s">
        <v>32</v>
      </c>
      <c r="F568" t="s">
        <v>16</v>
      </c>
      <c r="G568" t="s">
        <v>17</v>
      </c>
      <c r="H568">
        <v>9</v>
      </c>
      <c r="I568">
        <v>433746</v>
      </c>
      <c r="J568">
        <v>228498.41889683099</v>
      </c>
      <c r="K568" t="str">
        <f>IF(AND(data_tab[[#This Row],[Revenue]]="",data_tab[[#This Row],[Cost]]=""),"Remove",IF(OR(data_tab[[#This Row],[Revenue]]="",data_tab[[#This Row],[Cost]]=""),"Flag","Valid"))</f>
        <v>Valid</v>
      </c>
      <c r="L568" t="str">
        <f>IF((COUNTIFS(data_tab[Revenue],data_tab[[#This Row],[Revenue]],data_tab[Cost],data_tab[[#This Row],[Cost]]))&gt;1,"Duplicate","Unique")</f>
        <v>Unique</v>
      </c>
      <c r="M568">
        <f>data_tab[[#This Row],[Revenue]]-data_tab[[#This Row],[Cost]]</f>
        <v>205247.58110316901</v>
      </c>
      <c r="N568" t="str">
        <f>IF(data_tab[[#This Row],[Revenue]]&lt;0,"Return","Sale")</f>
        <v>Sale</v>
      </c>
    </row>
    <row r="569" spans="1:14" hidden="1">
      <c r="A569" s="1">
        <v>46084</v>
      </c>
      <c r="B569">
        <f>MONTH(data_tab[[#This Row],[Order Date]])</f>
        <v>3</v>
      </c>
      <c r="C569">
        <f>YEAR(data_tab[[#This Row],[Order Date]])</f>
        <v>2026</v>
      </c>
      <c r="D569" t="s">
        <v>14</v>
      </c>
      <c r="E569" t="s">
        <v>15</v>
      </c>
      <c r="F569" t="s">
        <v>21</v>
      </c>
      <c r="G569" t="s">
        <v>41</v>
      </c>
      <c r="H569">
        <v>4</v>
      </c>
      <c r="I569">
        <v>92004</v>
      </c>
      <c r="J569">
        <v>58982.353770391397</v>
      </c>
      <c r="K569" t="str">
        <f>IF(AND(data_tab[[#This Row],[Revenue]]="",data_tab[[#This Row],[Cost]]=""),"Remove",IF(OR(data_tab[[#This Row],[Revenue]]="",data_tab[[#This Row],[Cost]]=""),"Flag","Valid"))</f>
        <v>Valid</v>
      </c>
      <c r="L569" t="str">
        <f>IF((COUNTIFS(data_tab[Revenue],data_tab[[#This Row],[Revenue]],data_tab[Cost],data_tab[[#This Row],[Cost]]))&gt;1,"Duplicate","Unique")</f>
        <v>Unique</v>
      </c>
      <c r="M569">
        <f>data_tab[[#This Row],[Revenue]]-data_tab[[#This Row],[Cost]]</f>
        <v>33021.646229608603</v>
      </c>
      <c r="N569" t="str">
        <f>IF(data_tab[[#This Row],[Revenue]]&lt;0,"Return","Sale")</f>
        <v>Sale</v>
      </c>
    </row>
    <row r="570" spans="1:14" hidden="1">
      <c r="A570" s="1">
        <v>46039</v>
      </c>
      <c r="B570">
        <f>MONTH(data_tab[[#This Row],[Order Date]])</f>
        <v>1</v>
      </c>
      <c r="C570">
        <f>YEAR(data_tab[[#This Row],[Order Date]])</f>
        <v>2026</v>
      </c>
      <c r="D570" t="s">
        <v>40</v>
      </c>
      <c r="E570" t="s">
        <v>15</v>
      </c>
      <c r="F570" t="s">
        <v>24</v>
      </c>
      <c r="G570" t="s">
        <v>33</v>
      </c>
      <c r="H570">
        <v>9</v>
      </c>
      <c r="I570">
        <v>418077</v>
      </c>
      <c r="J570">
        <v>347067.29348089203</v>
      </c>
      <c r="K570" t="str">
        <f>IF(AND(data_tab[[#This Row],[Revenue]]="",data_tab[[#This Row],[Cost]]=""),"Remove",IF(OR(data_tab[[#This Row],[Revenue]]="",data_tab[[#This Row],[Cost]]=""),"Flag","Valid"))</f>
        <v>Valid</v>
      </c>
      <c r="L570" t="str">
        <f>IF((COUNTIFS(data_tab[Revenue],data_tab[[#This Row],[Revenue]],data_tab[Cost],data_tab[[#This Row],[Cost]]))&gt;1,"Duplicate","Unique")</f>
        <v>Unique</v>
      </c>
      <c r="M570">
        <f>data_tab[[#This Row],[Revenue]]-data_tab[[#This Row],[Cost]]</f>
        <v>71009.706519107975</v>
      </c>
      <c r="N570" t="str">
        <f>IF(data_tab[[#This Row],[Revenue]]&lt;0,"Return","Sale")</f>
        <v>Sale</v>
      </c>
    </row>
    <row r="571" spans="1:14" hidden="1">
      <c r="A571" s="1">
        <v>46195</v>
      </c>
      <c r="B571">
        <f>MONTH(data_tab[[#This Row],[Order Date]])</f>
        <v>6</v>
      </c>
      <c r="C571">
        <f>YEAR(data_tab[[#This Row],[Order Date]])</f>
        <v>2026</v>
      </c>
      <c r="D571" t="s">
        <v>20</v>
      </c>
      <c r="E571" t="s">
        <v>15</v>
      </c>
      <c r="F571" t="s">
        <v>21</v>
      </c>
      <c r="G571" t="s">
        <v>33</v>
      </c>
      <c r="H571">
        <v>2</v>
      </c>
      <c r="I571">
        <v>14508</v>
      </c>
      <c r="J571">
        <v>9521.2087003689903</v>
      </c>
      <c r="K571" t="str">
        <f>IF(AND(data_tab[[#This Row],[Revenue]]="",data_tab[[#This Row],[Cost]]=""),"Remove",IF(OR(data_tab[[#This Row],[Revenue]]="",data_tab[[#This Row],[Cost]]=""),"Flag","Valid"))</f>
        <v>Valid</v>
      </c>
      <c r="L571" t="str">
        <f>IF((COUNTIFS(data_tab[Revenue],data_tab[[#This Row],[Revenue]],data_tab[Cost],data_tab[[#This Row],[Cost]]))&gt;1,"Duplicate","Unique")</f>
        <v>Unique</v>
      </c>
      <c r="M571">
        <f>data_tab[[#This Row],[Revenue]]-data_tab[[#This Row],[Cost]]</f>
        <v>4986.7912996310097</v>
      </c>
      <c r="N571" t="str">
        <f>IF(data_tab[[#This Row],[Revenue]]&lt;0,"Return","Sale")</f>
        <v>Sale</v>
      </c>
    </row>
    <row r="572" spans="1:14" hidden="1">
      <c r="A572" s="1">
        <v>46065</v>
      </c>
      <c r="B572">
        <f>MONTH(data_tab[[#This Row],[Order Date]])</f>
        <v>2</v>
      </c>
      <c r="C572">
        <f>YEAR(data_tab[[#This Row],[Order Date]])</f>
        <v>2026</v>
      </c>
      <c r="D572" t="s">
        <v>29</v>
      </c>
      <c r="E572" t="s">
        <v>15</v>
      </c>
      <c r="F572" t="s">
        <v>21</v>
      </c>
      <c r="G572" t="s">
        <v>17</v>
      </c>
      <c r="H572">
        <v>9</v>
      </c>
      <c r="I572">
        <v>387981</v>
      </c>
      <c r="J572">
        <v>197511.85723370299</v>
      </c>
      <c r="K572" t="str">
        <f>IF(AND(data_tab[[#This Row],[Revenue]]="",data_tab[[#This Row],[Cost]]=""),"Remove",IF(OR(data_tab[[#This Row],[Revenue]]="",data_tab[[#This Row],[Cost]]=""),"Flag","Valid"))</f>
        <v>Valid</v>
      </c>
      <c r="L572" t="str">
        <f>IF((COUNTIFS(data_tab[Revenue],data_tab[[#This Row],[Revenue]],data_tab[Cost],data_tab[[#This Row],[Cost]]))&gt;1,"Duplicate","Unique")</f>
        <v>Unique</v>
      </c>
      <c r="M572">
        <f>data_tab[[#This Row],[Revenue]]-data_tab[[#This Row],[Cost]]</f>
        <v>190469.14276629701</v>
      </c>
      <c r="N572" t="str">
        <f>IF(data_tab[[#This Row],[Revenue]]&lt;0,"Return","Sale")</f>
        <v>Sale</v>
      </c>
    </row>
    <row r="573" spans="1:14">
      <c r="A573" s="1">
        <v>46144</v>
      </c>
      <c r="B573">
        <f>MONTH(data_tab[[#This Row],[Order Date]])</f>
        <v>5</v>
      </c>
      <c r="C573">
        <f>YEAR(data_tab[[#This Row],[Order Date]])</f>
        <v>2026</v>
      </c>
      <c r="D573" t="s">
        <v>14</v>
      </c>
      <c r="E573" t="s">
        <v>15</v>
      </c>
      <c r="F573" t="s">
        <v>24</v>
      </c>
      <c r="G573" t="s">
        <v>37</v>
      </c>
      <c r="H573">
        <v>4</v>
      </c>
      <c r="I573">
        <v>24500</v>
      </c>
      <c r="J573">
        <v>12465.958861586199</v>
      </c>
      <c r="K573" t="str">
        <f>IF(AND(data_tab[[#This Row],[Revenue]]="",data_tab[[#This Row],[Cost]]=""),"Remove",IF(OR(data_tab[[#This Row],[Revenue]]="",data_tab[[#This Row],[Cost]]=""),"Flag","Valid"))</f>
        <v>Valid</v>
      </c>
      <c r="L573" t="str">
        <f>IF((COUNTIFS(data_tab[Revenue],data_tab[[#This Row],[Revenue]],data_tab[Cost],data_tab[[#This Row],[Cost]]))&gt;1,"Duplicate","Unique")</f>
        <v>Unique</v>
      </c>
      <c r="M573">
        <f>data_tab[[#This Row],[Revenue]]-data_tab[[#This Row],[Cost]]</f>
        <v>12034.041138413801</v>
      </c>
      <c r="N573" t="str">
        <f>IF(data_tab[[#This Row],[Revenue]]&lt;0,"Return","Sale")</f>
        <v>Sale</v>
      </c>
    </row>
    <row r="574" spans="1:14" hidden="1">
      <c r="A574" s="1">
        <v>46108</v>
      </c>
      <c r="B574">
        <f>MONTH(data_tab[[#This Row],[Order Date]])</f>
        <v>3</v>
      </c>
      <c r="C574">
        <f>YEAR(data_tab[[#This Row],[Order Date]])</f>
        <v>2026</v>
      </c>
      <c r="D574" t="s">
        <v>14</v>
      </c>
      <c r="E574" t="s">
        <v>15</v>
      </c>
      <c r="F574" t="s">
        <v>16</v>
      </c>
      <c r="G574" t="s">
        <v>33</v>
      </c>
      <c r="H574">
        <v>10</v>
      </c>
      <c r="I574">
        <v>456370</v>
      </c>
      <c r="J574">
        <v>355396.05293325102</v>
      </c>
      <c r="K574" t="str">
        <f>IF(AND(data_tab[[#This Row],[Revenue]]="",data_tab[[#This Row],[Cost]]=""),"Remove",IF(OR(data_tab[[#This Row],[Revenue]]="",data_tab[[#This Row],[Cost]]=""),"Flag","Valid"))</f>
        <v>Valid</v>
      </c>
      <c r="L574" t="str">
        <f>IF((COUNTIFS(data_tab[Revenue],data_tab[[#This Row],[Revenue]],data_tab[Cost],data_tab[[#This Row],[Cost]]))&gt;1,"Duplicate","Unique")</f>
        <v>Unique</v>
      </c>
      <c r="M574">
        <f>data_tab[[#This Row],[Revenue]]-data_tab[[#This Row],[Cost]]</f>
        <v>100973.94706674898</v>
      </c>
      <c r="N574" t="str">
        <f>IF(data_tab[[#This Row],[Revenue]]&lt;0,"Return","Sale")</f>
        <v>Sale</v>
      </c>
    </row>
    <row r="575" spans="1:14" hidden="1">
      <c r="A575" s="1">
        <v>46056</v>
      </c>
      <c r="B575">
        <f>MONTH(data_tab[[#This Row],[Order Date]])</f>
        <v>2</v>
      </c>
      <c r="C575">
        <f>YEAR(data_tab[[#This Row],[Order Date]])</f>
        <v>2026</v>
      </c>
      <c r="D575" t="s">
        <v>23</v>
      </c>
      <c r="E575" t="s">
        <v>15</v>
      </c>
      <c r="F575" t="s">
        <v>16</v>
      </c>
      <c r="G575" t="s">
        <v>17</v>
      </c>
      <c r="H575">
        <v>8</v>
      </c>
      <c r="I575">
        <v>210976</v>
      </c>
      <c r="K575" t="str">
        <f>IF(AND(data_tab[[#This Row],[Revenue]]="",data_tab[[#This Row],[Cost]]=""),"Remove",IF(OR(data_tab[[#This Row],[Revenue]]="",data_tab[[#This Row],[Cost]]=""),"Flag","Valid"))</f>
        <v>Flag</v>
      </c>
      <c r="L575" t="str">
        <f>IF((COUNTIFS(data_tab[Revenue],data_tab[[#This Row],[Revenue]],data_tab[Cost],data_tab[[#This Row],[Cost]]))&gt;1,"Duplicate","Unique")</f>
        <v>Unique</v>
      </c>
      <c r="M575">
        <f>data_tab[[#This Row],[Revenue]]-data_tab[[#This Row],[Cost]]</f>
        <v>210976</v>
      </c>
      <c r="N575" t="str">
        <f>IF(data_tab[[#This Row],[Revenue]]&lt;0,"Return","Sale")</f>
        <v>Sale</v>
      </c>
    </row>
    <row r="576" spans="1:14" hidden="1">
      <c r="A576" s="1">
        <v>46139</v>
      </c>
      <c r="B576">
        <f>MONTH(data_tab[[#This Row],[Order Date]])</f>
        <v>4</v>
      </c>
      <c r="C576">
        <f>YEAR(data_tab[[#This Row],[Order Date]])</f>
        <v>2026</v>
      </c>
      <c r="D576" t="s">
        <v>31</v>
      </c>
      <c r="E576" t="s">
        <v>32</v>
      </c>
      <c r="F576" t="s">
        <v>16</v>
      </c>
      <c r="G576" t="s">
        <v>17</v>
      </c>
      <c r="H576">
        <v>3</v>
      </c>
      <c r="I576">
        <v>145218</v>
      </c>
      <c r="J576">
        <v>112855.25492843401</v>
      </c>
      <c r="K576" t="str">
        <f>IF(AND(data_tab[[#This Row],[Revenue]]="",data_tab[[#This Row],[Cost]]=""),"Remove",IF(OR(data_tab[[#This Row],[Revenue]]="",data_tab[[#This Row],[Cost]]=""),"Flag","Valid"))</f>
        <v>Valid</v>
      </c>
      <c r="L576" t="str">
        <f>IF((COUNTIFS(data_tab[Revenue],data_tab[[#This Row],[Revenue]],data_tab[Cost],data_tab[[#This Row],[Cost]]))&gt;1,"Duplicate","Unique")</f>
        <v>Unique</v>
      </c>
      <c r="M576">
        <f>data_tab[[#This Row],[Revenue]]-data_tab[[#This Row],[Cost]]</f>
        <v>32362.745071565994</v>
      </c>
      <c r="N576" t="str">
        <f>IF(data_tab[[#This Row],[Revenue]]&lt;0,"Return","Sale")</f>
        <v>Sale</v>
      </c>
    </row>
    <row r="577" spans="1:14" hidden="1">
      <c r="A577" s="1">
        <v>46033</v>
      </c>
      <c r="B577">
        <f>MONTH(data_tab[[#This Row],[Order Date]])</f>
        <v>1</v>
      </c>
      <c r="C577">
        <f>YEAR(data_tab[[#This Row],[Order Date]])</f>
        <v>2026</v>
      </c>
      <c r="D577" t="s">
        <v>29</v>
      </c>
      <c r="E577" t="s">
        <v>15</v>
      </c>
      <c r="F577" t="s">
        <v>16</v>
      </c>
      <c r="G577" t="s">
        <v>37</v>
      </c>
      <c r="H577">
        <v>3</v>
      </c>
      <c r="J577">
        <v>33592.638551086398</v>
      </c>
      <c r="K577" t="str">
        <f>IF(AND(data_tab[[#This Row],[Revenue]]="",data_tab[[#This Row],[Cost]]=""),"Remove",IF(OR(data_tab[[#This Row],[Revenue]]="",data_tab[[#This Row],[Cost]]=""),"Flag","Valid"))</f>
        <v>Flag</v>
      </c>
      <c r="L577" t="str">
        <f>IF((COUNTIFS(data_tab[Revenue],data_tab[[#This Row],[Revenue]],data_tab[Cost],data_tab[[#This Row],[Cost]]))&gt;1,"Duplicate","Unique")</f>
        <v>Unique</v>
      </c>
      <c r="M577">
        <f>data_tab[[#This Row],[Revenue]]-data_tab[[#This Row],[Cost]]</f>
        <v>-33592.638551086398</v>
      </c>
      <c r="N577" t="str">
        <f>IF(data_tab[[#This Row],[Revenue]]&lt;0,"Return","Sale")</f>
        <v>Sale</v>
      </c>
    </row>
    <row r="578" spans="1:14" hidden="1">
      <c r="A578" s="1">
        <v>46118</v>
      </c>
      <c r="B578">
        <f>MONTH(data_tab[[#This Row],[Order Date]])</f>
        <v>4</v>
      </c>
      <c r="C578">
        <f>YEAR(data_tab[[#This Row],[Order Date]])</f>
        <v>2026</v>
      </c>
      <c r="D578" t="s">
        <v>40</v>
      </c>
      <c r="E578" t="s">
        <v>15</v>
      </c>
      <c r="F578" t="s">
        <v>16</v>
      </c>
      <c r="G578" t="s">
        <v>39</v>
      </c>
      <c r="H578">
        <v>1</v>
      </c>
      <c r="I578">
        <v>28513</v>
      </c>
      <c r="J578">
        <v>24875.5271992739</v>
      </c>
      <c r="K578" t="str">
        <f>IF(AND(data_tab[[#This Row],[Revenue]]="",data_tab[[#This Row],[Cost]]=""),"Remove",IF(OR(data_tab[[#This Row],[Revenue]]="",data_tab[[#This Row],[Cost]]=""),"Flag","Valid"))</f>
        <v>Valid</v>
      </c>
      <c r="L578" t="str">
        <f>IF((COUNTIFS(data_tab[Revenue],data_tab[[#This Row],[Revenue]],data_tab[Cost],data_tab[[#This Row],[Cost]]))&gt;1,"Duplicate","Unique")</f>
        <v>Unique</v>
      </c>
      <c r="M578">
        <f>data_tab[[#This Row],[Revenue]]-data_tab[[#This Row],[Cost]]</f>
        <v>3637.4728007261001</v>
      </c>
      <c r="N578" t="str">
        <f>IF(data_tab[[#This Row],[Revenue]]&lt;0,"Return","Sale")</f>
        <v>Sale</v>
      </c>
    </row>
    <row r="579" spans="1:14" hidden="1">
      <c r="A579" s="1">
        <v>46267</v>
      </c>
      <c r="B579">
        <f>MONTH(data_tab[[#This Row],[Order Date]])</f>
        <v>9</v>
      </c>
      <c r="C579">
        <f>YEAR(data_tab[[#This Row],[Order Date]])</f>
        <v>2026</v>
      </c>
      <c r="D579" t="s">
        <v>14</v>
      </c>
      <c r="E579" t="s">
        <v>15</v>
      </c>
      <c r="F579" t="s">
        <v>16</v>
      </c>
      <c r="G579" t="s">
        <v>41</v>
      </c>
      <c r="H579">
        <v>5</v>
      </c>
      <c r="I579">
        <v>165290</v>
      </c>
      <c r="J579">
        <v>141883.44538547201</v>
      </c>
      <c r="K579" t="str">
        <f>IF(AND(data_tab[[#This Row],[Revenue]]="",data_tab[[#This Row],[Cost]]=""),"Remove",IF(OR(data_tab[[#This Row],[Revenue]]="",data_tab[[#This Row],[Cost]]=""),"Flag","Valid"))</f>
        <v>Valid</v>
      </c>
      <c r="L579" t="str">
        <f>IF((COUNTIFS(data_tab[Revenue],data_tab[[#This Row],[Revenue]],data_tab[Cost],data_tab[[#This Row],[Cost]]))&gt;1,"Duplicate","Unique")</f>
        <v>Unique</v>
      </c>
      <c r="M579">
        <f>data_tab[[#This Row],[Revenue]]-data_tab[[#This Row],[Cost]]</f>
        <v>23406.554614527995</v>
      </c>
      <c r="N579" t="str">
        <f>IF(data_tab[[#This Row],[Revenue]]&lt;0,"Return","Sale")</f>
        <v>Sale</v>
      </c>
    </row>
    <row r="580" spans="1:14" hidden="1">
      <c r="A580" s="1">
        <v>46193</v>
      </c>
      <c r="B580">
        <f>MONTH(data_tab[[#This Row],[Order Date]])</f>
        <v>6</v>
      </c>
      <c r="C580">
        <f>YEAR(data_tab[[#This Row],[Order Date]])</f>
        <v>2026</v>
      </c>
      <c r="D580" t="s">
        <v>40</v>
      </c>
      <c r="E580" t="s">
        <v>15</v>
      </c>
      <c r="F580" t="s">
        <v>36</v>
      </c>
      <c r="G580" t="s">
        <v>37</v>
      </c>
      <c r="H580">
        <v>2</v>
      </c>
      <c r="J580">
        <v>69087.323716270403</v>
      </c>
      <c r="K580" t="str">
        <f>IF(AND(data_tab[[#This Row],[Revenue]]="",data_tab[[#This Row],[Cost]]=""),"Remove",IF(OR(data_tab[[#This Row],[Revenue]]="",data_tab[[#This Row],[Cost]]=""),"Flag","Valid"))</f>
        <v>Flag</v>
      </c>
      <c r="L580" t="str">
        <f>IF((COUNTIFS(data_tab[Revenue],data_tab[[#This Row],[Revenue]],data_tab[Cost],data_tab[[#This Row],[Cost]]))&gt;1,"Duplicate","Unique")</f>
        <v>Unique</v>
      </c>
      <c r="M580">
        <f>data_tab[[#This Row],[Revenue]]-data_tab[[#This Row],[Cost]]</f>
        <v>-69087.323716270403</v>
      </c>
      <c r="N580" t="str">
        <f>IF(data_tab[[#This Row],[Revenue]]&lt;0,"Return","Sale")</f>
        <v>Sale</v>
      </c>
    </row>
    <row r="581" spans="1:14" hidden="1">
      <c r="A581" s="1">
        <v>46029</v>
      </c>
      <c r="B581">
        <f>MONTH(data_tab[[#This Row],[Order Date]])</f>
        <v>1</v>
      </c>
      <c r="C581">
        <f>YEAR(data_tab[[#This Row],[Order Date]])</f>
        <v>2026</v>
      </c>
      <c r="D581" t="s">
        <v>29</v>
      </c>
      <c r="E581" t="s">
        <v>15</v>
      </c>
      <c r="F581" t="s">
        <v>16</v>
      </c>
      <c r="G581" t="s">
        <v>39</v>
      </c>
      <c r="H581">
        <v>6</v>
      </c>
      <c r="I581">
        <v>33636</v>
      </c>
      <c r="J581">
        <v>25000.3096352791</v>
      </c>
      <c r="K581" t="str">
        <f>IF(AND(data_tab[[#This Row],[Revenue]]="",data_tab[[#This Row],[Cost]]=""),"Remove",IF(OR(data_tab[[#This Row],[Revenue]]="",data_tab[[#This Row],[Cost]]=""),"Flag","Valid"))</f>
        <v>Valid</v>
      </c>
      <c r="L581" t="str">
        <f>IF((COUNTIFS(data_tab[Revenue],data_tab[[#This Row],[Revenue]],data_tab[Cost],data_tab[[#This Row],[Cost]]))&gt;1,"Duplicate","Unique")</f>
        <v>Unique</v>
      </c>
      <c r="M581">
        <f>data_tab[[#This Row],[Revenue]]-data_tab[[#This Row],[Cost]]</f>
        <v>8635.6903647209001</v>
      </c>
      <c r="N581" t="str">
        <f>IF(data_tab[[#This Row],[Revenue]]&lt;0,"Return","Sale")</f>
        <v>Sale</v>
      </c>
    </row>
    <row r="582" spans="1:14" hidden="1">
      <c r="A582" s="1">
        <v>46094</v>
      </c>
      <c r="B582">
        <f>MONTH(data_tab[[#This Row],[Order Date]])</f>
        <v>3</v>
      </c>
      <c r="C582">
        <f>YEAR(data_tab[[#This Row],[Order Date]])</f>
        <v>2026</v>
      </c>
      <c r="D582" t="s">
        <v>20</v>
      </c>
      <c r="E582" t="s">
        <v>15</v>
      </c>
      <c r="F582" t="s">
        <v>36</v>
      </c>
      <c r="G582" t="s">
        <v>41</v>
      </c>
      <c r="H582">
        <v>2</v>
      </c>
      <c r="I582">
        <v>71080</v>
      </c>
      <c r="J582">
        <v>46754.2521622821</v>
      </c>
      <c r="K582" t="str">
        <f>IF(AND(data_tab[[#This Row],[Revenue]]="",data_tab[[#This Row],[Cost]]=""),"Remove",IF(OR(data_tab[[#This Row],[Revenue]]="",data_tab[[#This Row],[Cost]]=""),"Flag","Valid"))</f>
        <v>Valid</v>
      </c>
      <c r="L582" t="str">
        <f>IF((COUNTIFS(data_tab[Revenue],data_tab[[#This Row],[Revenue]],data_tab[Cost],data_tab[[#This Row],[Cost]]))&gt;1,"Duplicate","Unique")</f>
        <v>Unique</v>
      </c>
      <c r="M582">
        <f>data_tab[[#This Row],[Revenue]]-data_tab[[#This Row],[Cost]]</f>
        <v>24325.7478377179</v>
      </c>
      <c r="N582" t="str">
        <f>IF(data_tab[[#This Row],[Revenue]]&lt;0,"Return","Sale")</f>
        <v>Sale</v>
      </c>
    </row>
    <row r="583" spans="1:14" hidden="1">
      <c r="A583" s="1">
        <v>46037</v>
      </c>
      <c r="B583">
        <f>MONTH(data_tab[[#This Row],[Order Date]])</f>
        <v>1</v>
      </c>
      <c r="C583">
        <f>YEAR(data_tab[[#This Row],[Order Date]])</f>
        <v>2026</v>
      </c>
      <c r="D583" t="s">
        <v>31</v>
      </c>
      <c r="E583" t="s">
        <v>32</v>
      </c>
      <c r="F583" t="s">
        <v>36</v>
      </c>
      <c r="G583" t="s">
        <v>37</v>
      </c>
      <c r="H583">
        <v>7</v>
      </c>
      <c r="I583">
        <v>185031</v>
      </c>
      <c r="J583">
        <v>93417.769707587693</v>
      </c>
      <c r="K583" t="str">
        <f>IF(AND(data_tab[[#This Row],[Revenue]]="",data_tab[[#This Row],[Cost]]=""),"Remove",IF(OR(data_tab[[#This Row],[Revenue]]="",data_tab[[#This Row],[Cost]]=""),"Flag","Valid"))</f>
        <v>Valid</v>
      </c>
      <c r="L583" t="str">
        <f>IF((COUNTIFS(data_tab[Revenue],data_tab[[#This Row],[Revenue]],data_tab[Cost],data_tab[[#This Row],[Cost]]))&gt;1,"Duplicate","Unique")</f>
        <v>Unique</v>
      </c>
      <c r="M583">
        <f>data_tab[[#This Row],[Revenue]]-data_tab[[#This Row],[Cost]]</f>
        <v>91613.230292412307</v>
      </c>
      <c r="N583" t="str">
        <f>IF(data_tab[[#This Row],[Revenue]]&lt;0,"Return","Sale")</f>
        <v>Sale</v>
      </c>
    </row>
    <row r="584" spans="1:14">
      <c r="A584" s="1">
        <v>46166</v>
      </c>
      <c r="B584">
        <f>MONTH(data_tab[[#This Row],[Order Date]])</f>
        <v>5</v>
      </c>
      <c r="C584">
        <f>YEAR(data_tab[[#This Row],[Order Date]])</f>
        <v>2026</v>
      </c>
      <c r="D584" t="s">
        <v>14</v>
      </c>
      <c r="E584" t="s">
        <v>15</v>
      </c>
      <c r="F584" t="s">
        <v>36</v>
      </c>
      <c r="G584" t="s">
        <v>41</v>
      </c>
      <c r="H584">
        <v>7</v>
      </c>
      <c r="I584">
        <v>216993</v>
      </c>
      <c r="J584">
        <v>133549.12461581</v>
      </c>
      <c r="K584" t="str">
        <f>IF(AND(data_tab[[#This Row],[Revenue]]="",data_tab[[#This Row],[Cost]]=""),"Remove",IF(OR(data_tab[[#This Row],[Revenue]]="",data_tab[[#This Row],[Cost]]=""),"Flag","Valid"))</f>
        <v>Valid</v>
      </c>
      <c r="L584" t="str">
        <f>IF((COUNTIFS(data_tab[Revenue],data_tab[[#This Row],[Revenue]],data_tab[Cost],data_tab[[#This Row],[Cost]]))&gt;1,"Duplicate","Unique")</f>
        <v>Unique</v>
      </c>
      <c r="M584">
        <f>data_tab[[#This Row],[Revenue]]-data_tab[[#This Row],[Cost]]</f>
        <v>83443.875384190003</v>
      </c>
      <c r="N584" t="str">
        <f>IF(data_tab[[#This Row],[Revenue]]&lt;0,"Return","Sale")</f>
        <v>Sale</v>
      </c>
    </row>
    <row r="585" spans="1:14" hidden="1">
      <c r="A585" s="1">
        <v>46129</v>
      </c>
      <c r="B585">
        <f>MONTH(data_tab[[#This Row],[Order Date]])</f>
        <v>4</v>
      </c>
      <c r="C585">
        <f>YEAR(data_tab[[#This Row],[Order Date]])</f>
        <v>2026</v>
      </c>
      <c r="D585" t="s">
        <v>40</v>
      </c>
      <c r="E585" t="s">
        <v>15</v>
      </c>
      <c r="F585" t="s">
        <v>24</v>
      </c>
      <c r="G585" t="s">
        <v>17</v>
      </c>
      <c r="H585">
        <v>4</v>
      </c>
      <c r="I585">
        <v>87488</v>
      </c>
      <c r="J585">
        <v>60353.181407188102</v>
      </c>
      <c r="K585" t="str">
        <f>IF(AND(data_tab[[#This Row],[Revenue]]="",data_tab[[#This Row],[Cost]]=""),"Remove",IF(OR(data_tab[[#This Row],[Revenue]]="",data_tab[[#This Row],[Cost]]=""),"Flag","Valid"))</f>
        <v>Valid</v>
      </c>
      <c r="L585" t="str">
        <f>IF((COUNTIFS(data_tab[Revenue],data_tab[[#This Row],[Revenue]],data_tab[Cost],data_tab[[#This Row],[Cost]]))&gt;1,"Duplicate","Unique")</f>
        <v>Unique</v>
      </c>
      <c r="M585">
        <f>data_tab[[#This Row],[Revenue]]-data_tab[[#This Row],[Cost]]</f>
        <v>27134.818592811898</v>
      </c>
      <c r="N585" t="str">
        <f>IF(data_tab[[#This Row],[Revenue]]&lt;0,"Return","Sale")</f>
        <v>Sale</v>
      </c>
    </row>
    <row r="586" spans="1:14" hidden="1">
      <c r="A586" s="1">
        <v>46174</v>
      </c>
      <c r="B586">
        <f>MONTH(data_tab[[#This Row],[Order Date]])</f>
        <v>6</v>
      </c>
      <c r="C586">
        <f>YEAR(data_tab[[#This Row],[Order Date]])</f>
        <v>2026</v>
      </c>
      <c r="D586" t="s">
        <v>29</v>
      </c>
      <c r="E586" t="s">
        <v>15</v>
      </c>
      <c r="F586" t="s">
        <v>16</v>
      </c>
      <c r="G586" t="s">
        <v>33</v>
      </c>
      <c r="H586">
        <v>3</v>
      </c>
      <c r="I586">
        <v>115275</v>
      </c>
      <c r="J586">
        <v>78945.851567085701</v>
      </c>
      <c r="K586" t="str">
        <f>IF(AND(data_tab[[#This Row],[Revenue]]="",data_tab[[#This Row],[Cost]]=""),"Remove",IF(OR(data_tab[[#This Row],[Revenue]]="",data_tab[[#This Row],[Cost]]=""),"Flag","Valid"))</f>
        <v>Valid</v>
      </c>
      <c r="L586" t="str">
        <f>IF((COUNTIFS(data_tab[Revenue],data_tab[[#This Row],[Revenue]],data_tab[Cost],data_tab[[#This Row],[Cost]]))&gt;1,"Duplicate","Unique")</f>
        <v>Duplicate</v>
      </c>
      <c r="M586">
        <f>data_tab[[#This Row],[Revenue]]-data_tab[[#This Row],[Cost]]</f>
        <v>36329.148432914299</v>
      </c>
      <c r="N586" t="str">
        <f>IF(data_tab[[#This Row],[Revenue]]&lt;0,"Return","Sale")</f>
        <v>Sale</v>
      </c>
    </row>
    <row r="587" spans="1:14" hidden="1">
      <c r="A587" s="1">
        <v>46120</v>
      </c>
      <c r="B587">
        <f>MONTH(data_tab[[#This Row],[Order Date]])</f>
        <v>4</v>
      </c>
      <c r="C587">
        <f>YEAR(data_tab[[#This Row],[Order Date]])</f>
        <v>2026</v>
      </c>
      <c r="D587" t="s">
        <v>23</v>
      </c>
      <c r="E587" t="s">
        <v>15</v>
      </c>
      <c r="F587" t="s">
        <v>16</v>
      </c>
      <c r="G587" t="s">
        <v>26</v>
      </c>
      <c r="H587">
        <v>5</v>
      </c>
      <c r="I587">
        <v>-171905</v>
      </c>
      <c r="K587" t="str">
        <f>IF(AND(data_tab[[#This Row],[Revenue]]="",data_tab[[#This Row],[Cost]]=""),"Remove",IF(OR(data_tab[[#This Row],[Revenue]]="",data_tab[[#This Row],[Cost]]=""),"Flag","Valid"))</f>
        <v>Flag</v>
      </c>
      <c r="L587" t="str">
        <f>IF((COUNTIFS(data_tab[Revenue],data_tab[[#This Row],[Revenue]],data_tab[Cost],data_tab[[#This Row],[Cost]]))&gt;1,"Duplicate","Unique")</f>
        <v>Unique</v>
      </c>
      <c r="M587">
        <f>data_tab[[#This Row],[Revenue]]-data_tab[[#This Row],[Cost]]</f>
        <v>-171905</v>
      </c>
      <c r="N587" t="str">
        <f>IF(data_tab[[#This Row],[Revenue]]&lt;0,"Return","Sale")</f>
        <v>Return</v>
      </c>
    </row>
    <row r="588" spans="1:14" hidden="1">
      <c r="A588" s="1">
        <v>46090</v>
      </c>
      <c r="B588">
        <f>MONTH(data_tab[[#This Row],[Order Date]])</f>
        <v>3</v>
      </c>
      <c r="C588">
        <f>YEAR(data_tab[[#This Row],[Order Date]])</f>
        <v>2026</v>
      </c>
      <c r="D588" t="s">
        <v>14</v>
      </c>
      <c r="E588" t="s">
        <v>15</v>
      </c>
      <c r="F588" t="s">
        <v>36</v>
      </c>
      <c r="G588" t="s">
        <v>39</v>
      </c>
      <c r="H588">
        <v>5</v>
      </c>
      <c r="I588">
        <v>-146690</v>
      </c>
      <c r="J588">
        <v>83869.849476888194</v>
      </c>
      <c r="K588" t="str">
        <f>IF(AND(data_tab[[#This Row],[Revenue]]="",data_tab[[#This Row],[Cost]]=""),"Remove",IF(OR(data_tab[[#This Row],[Revenue]]="",data_tab[[#This Row],[Cost]]=""),"Flag","Valid"))</f>
        <v>Valid</v>
      </c>
      <c r="L588" t="str">
        <f>IF((COUNTIFS(data_tab[Revenue],data_tab[[#This Row],[Revenue]],data_tab[Cost],data_tab[[#This Row],[Cost]]))&gt;1,"Duplicate","Unique")</f>
        <v>Unique</v>
      </c>
      <c r="M588">
        <f>data_tab[[#This Row],[Revenue]]-data_tab[[#This Row],[Cost]]</f>
        <v>-230559.84947688819</v>
      </c>
      <c r="N588" t="str">
        <f>IF(data_tab[[#This Row],[Revenue]]&lt;0,"Return","Sale")</f>
        <v>Return</v>
      </c>
    </row>
    <row r="589" spans="1:14" hidden="1">
      <c r="A589" s="1">
        <v>46093</v>
      </c>
      <c r="B589">
        <f>MONTH(data_tab[[#This Row],[Order Date]])</f>
        <v>3</v>
      </c>
      <c r="C589">
        <f>YEAR(data_tab[[#This Row],[Order Date]])</f>
        <v>2026</v>
      </c>
      <c r="D589" t="s">
        <v>40</v>
      </c>
      <c r="E589" t="s">
        <v>15</v>
      </c>
      <c r="F589" t="s">
        <v>16</v>
      </c>
      <c r="G589" t="s">
        <v>26</v>
      </c>
      <c r="H589">
        <v>8</v>
      </c>
      <c r="I589">
        <v>312520</v>
      </c>
      <c r="J589">
        <v>210772.052487896</v>
      </c>
      <c r="K589" t="str">
        <f>IF(AND(data_tab[[#This Row],[Revenue]]="",data_tab[[#This Row],[Cost]]=""),"Remove",IF(OR(data_tab[[#This Row],[Revenue]]="",data_tab[[#This Row],[Cost]]=""),"Flag","Valid"))</f>
        <v>Valid</v>
      </c>
      <c r="L589" t="str">
        <f>IF((COUNTIFS(data_tab[Revenue],data_tab[[#This Row],[Revenue]],data_tab[Cost],data_tab[[#This Row],[Cost]]))&gt;1,"Duplicate","Unique")</f>
        <v>Unique</v>
      </c>
      <c r="M589">
        <f>data_tab[[#This Row],[Revenue]]-data_tab[[#This Row],[Cost]]</f>
        <v>101747.947512104</v>
      </c>
      <c r="N589" t="str">
        <f>IF(data_tab[[#This Row],[Revenue]]&lt;0,"Return","Sale")</f>
        <v>Sale</v>
      </c>
    </row>
    <row r="590" spans="1:14" hidden="1">
      <c r="A590" s="1">
        <v>46053</v>
      </c>
      <c r="B590">
        <f>MONTH(data_tab[[#This Row],[Order Date]])</f>
        <v>1</v>
      </c>
      <c r="C590">
        <f>YEAR(data_tab[[#This Row],[Order Date]])</f>
        <v>2026</v>
      </c>
      <c r="D590" t="s">
        <v>20</v>
      </c>
      <c r="E590" t="s">
        <v>15</v>
      </c>
      <c r="F590" t="s">
        <v>16</v>
      </c>
      <c r="G590" t="s">
        <v>17</v>
      </c>
      <c r="H590">
        <v>10</v>
      </c>
      <c r="I590">
        <v>58340</v>
      </c>
      <c r="J590">
        <v>32580.255849153298</v>
      </c>
      <c r="K590" t="str">
        <f>IF(AND(data_tab[[#This Row],[Revenue]]="",data_tab[[#This Row],[Cost]]=""),"Remove",IF(OR(data_tab[[#This Row],[Revenue]]="",data_tab[[#This Row],[Cost]]=""),"Flag","Valid"))</f>
        <v>Valid</v>
      </c>
      <c r="L590" t="str">
        <f>IF((COUNTIFS(data_tab[Revenue],data_tab[[#This Row],[Revenue]],data_tab[Cost],data_tab[[#This Row],[Cost]]))&gt;1,"Duplicate","Unique")</f>
        <v>Unique</v>
      </c>
      <c r="M590">
        <f>data_tab[[#This Row],[Revenue]]-data_tab[[#This Row],[Cost]]</f>
        <v>25759.744150846702</v>
      </c>
      <c r="N590" t="str">
        <f>IF(data_tab[[#This Row],[Revenue]]&lt;0,"Return","Sale")</f>
        <v>Sale</v>
      </c>
    </row>
    <row r="591" spans="1:14" hidden="1">
      <c r="A591" s="1">
        <v>46036</v>
      </c>
      <c r="B591">
        <f>MONTH(data_tab[[#This Row],[Order Date]])</f>
        <v>1</v>
      </c>
      <c r="C591">
        <f>YEAR(data_tab[[#This Row],[Order Date]])</f>
        <v>2026</v>
      </c>
      <c r="D591" t="s">
        <v>35</v>
      </c>
      <c r="E591" t="s">
        <v>32</v>
      </c>
      <c r="F591" t="s">
        <v>24</v>
      </c>
      <c r="G591" t="s">
        <v>37</v>
      </c>
      <c r="H591">
        <v>5</v>
      </c>
      <c r="I591">
        <v>183540</v>
      </c>
      <c r="J591">
        <v>138678.89809981399</v>
      </c>
      <c r="K591" t="str">
        <f>IF(AND(data_tab[[#This Row],[Revenue]]="",data_tab[[#This Row],[Cost]]=""),"Remove",IF(OR(data_tab[[#This Row],[Revenue]]="",data_tab[[#This Row],[Cost]]=""),"Flag","Valid"))</f>
        <v>Valid</v>
      </c>
      <c r="L591" t="str">
        <f>IF((COUNTIFS(data_tab[Revenue],data_tab[[#This Row],[Revenue]],data_tab[Cost],data_tab[[#This Row],[Cost]]))&gt;1,"Duplicate","Unique")</f>
        <v>Unique</v>
      </c>
      <c r="M591">
        <f>data_tab[[#This Row],[Revenue]]-data_tab[[#This Row],[Cost]]</f>
        <v>44861.101900186011</v>
      </c>
      <c r="N591" t="str">
        <f>IF(data_tab[[#This Row],[Revenue]]&lt;0,"Return","Sale")</f>
        <v>Sale</v>
      </c>
    </row>
    <row r="592" spans="1:14" hidden="1">
      <c r="A592" s="1">
        <v>46047</v>
      </c>
      <c r="B592">
        <f>MONTH(data_tab[[#This Row],[Order Date]])</f>
        <v>1</v>
      </c>
      <c r="C592">
        <f>YEAR(data_tab[[#This Row],[Order Date]])</f>
        <v>2026</v>
      </c>
      <c r="D592" t="s">
        <v>35</v>
      </c>
      <c r="E592" t="s">
        <v>32</v>
      </c>
      <c r="F592" t="s">
        <v>16</v>
      </c>
      <c r="G592" t="s">
        <v>41</v>
      </c>
      <c r="H592">
        <v>5</v>
      </c>
      <c r="I592">
        <v>98950</v>
      </c>
      <c r="J592">
        <v>76604.862416278906</v>
      </c>
      <c r="K592" t="str">
        <f>IF(AND(data_tab[[#This Row],[Revenue]]="",data_tab[[#This Row],[Cost]]=""),"Remove",IF(OR(data_tab[[#This Row],[Revenue]]="",data_tab[[#This Row],[Cost]]=""),"Flag","Valid"))</f>
        <v>Valid</v>
      </c>
      <c r="L592" t="str">
        <f>IF((COUNTIFS(data_tab[Revenue],data_tab[[#This Row],[Revenue]],data_tab[Cost],data_tab[[#This Row],[Cost]]))&gt;1,"Duplicate","Unique")</f>
        <v>Unique</v>
      </c>
      <c r="M592">
        <f>data_tab[[#This Row],[Revenue]]-data_tab[[#This Row],[Cost]]</f>
        <v>22345.137583721094</v>
      </c>
      <c r="N592" t="str">
        <f>IF(data_tab[[#This Row],[Revenue]]&lt;0,"Return","Sale")</f>
        <v>Sale</v>
      </c>
    </row>
    <row r="593" spans="1:14" hidden="1">
      <c r="A593" s="1">
        <v>46175</v>
      </c>
      <c r="B593">
        <f>MONTH(data_tab[[#This Row],[Order Date]])</f>
        <v>6</v>
      </c>
      <c r="C593">
        <f>YEAR(data_tab[[#This Row],[Order Date]])</f>
        <v>2026</v>
      </c>
      <c r="D593" t="s">
        <v>40</v>
      </c>
      <c r="E593" t="s">
        <v>15</v>
      </c>
      <c r="F593" t="s">
        <v>16</v>
      </c>
      <c r="G593" t="s">
        <v>37</v>
      </c>
      <c r="H593">
        <v>8</v>
      </c>
      <c r="I593">
        <v>232000</v>
      </c>
      <c r="J593">
        <v>147581.05487123199</v>
      </c>
      <c r="K593" t="str">
        <f>IF(AND(data_tab[[#This Row],[Revenue]]="",data_tab[[#This Row],[Cost]]=""),"Remove",IF(OR(data_tab[[#This Row],[Revenue]]="",data_tab[[#This Row],[Cost]]=""),"Flag","Valid"))</f>
        <v>Valid</v>
      </c>
      <c r="L593" t="str">
        <f>IF((COUNTIFS(data_tab[Revenue],data_tab[[#This Row],[Revenue]],data_tab[Cost],data_tab[[#This Row],[Cost]]))&gt;1,"Duplicate","Unique")</f>
        <v>Unique</v>
      </c>
      <c r="M593">
        <f>data_tab[[#This Row],[Revenue]]-data_tab[[#This Row],[Cost]]</f>
        <v>84418.945128768013</v>
      </c>
      <c r="N593" t="str">
        <f>IF(data_tab[[#This Row],[Revenue]]&lt;0,"Return","Sale")</f>
        <v>Sale</v>
      </c>
    </row>
    <row r="594" spans="1:14" hidden="1">
      <c r="A594" s="1">
        <v>46079</v>
      </c>
      <c r="B594">
        <f>MONTH(data_tab[[#This Row],[Order Date]])</f>
        <v>2</v>
      </c>
      <c r="C594">
        <f>YEAR(data_tab[[#This Row],[Order Date]])</f>
        <v>2026</v>
      </c>
      <c r="D594" t="s">
        <v>40</v>
      </c>
      <c r="E594" t="s">
        <v>15</v>
      </c>
      <c r="F594" t="s">
        <v>24</v>
      </c>
      <c r="G594" t="s">
        <v>33</v>
      </c>
      <c r="H594">
        <v>8</v>
      </c>
      <c r="I594">
        <v>56048</v>
      </c>
      <c r="K594" t="str">
        <f>IF(AND(data_tab[[#This Row],[Revenue]]="",data_tab[[#This Row],[Cost]]=""),"Remove",IF(OR(data_tab[[#This Row],[Revenue]]="",data_tab[[#This Row],[Cost]]=""),"Flag","Valid"))</f>
        <v>Flag</v>
      </c>
      <c r="L594" t="str">
        <f>IF((COUNTIFS(data_tab[Revenue],data_tab[[#This Row],[Revenue]],data_tab[Cost],data_tab[[#This Row],[Cost]]))&gt;1,"Duplicate","Unique")</f>
        <v>Unique</v>
      </c>
      <c r="M594">
        <f>data_tab[[#This Row],[Revenue]]-data_tab[[#This Row],[Cost]]</f>
        <v>56048</v>
      </c>
      <c r="N594" t="str">
        <f>IF(data_tab[[#This Row],[Revenue]]&lt;0,"Return","Sale")</f>
        <v>Sale</v>
      </c>
    </row>
    <row r="595" spans="1:14" hidden="1">
      <c r="A595" s="1">
        <v>46199</v>
      </c>
      <c r="B595">
        <f>MONTH(data_tab[[#This Row],[Order Date]])</f>
        <v>6</v>
      </c>
      <c r="C595">
        <f>YEAR(data_tab[[#This Row],[Order Date]])</f>
        <v>2026</v>
      </c>
      <c r="D595" t="s">
        <v>40</v>
      </c>
      <c r="E595" t="s">
        <v>15</v>
      </c>
      <c r="F595" t="s">
        <v>16</v>
      </c>
      <c r="G595" t="s">
        <v>17</v>
      </c>
      <c r="H595">
        <v>5</v>
      </c>
      <c r="I595">
        <v>19420</v>
      </c>
      <c r="J595">
        <v>15492.966960010001</v>
      </c>
      <c r="K595" t="str">
        <f>IF(AND(data_tab[[#This Row],[Revenue]]="",data_tab[[#This Row],[Cost]]=""),"Remove",IF(OR(data_tab[[#This Row],[Revenue]]="",data_tab[[#This Row],[Cost]]=""),"Flag","Valid"))</f>
        <v>Valid</v>
      </c>
      <c r="L595" t="str">
        <f>IF((COUNTIFS(data_tab[Revenue],data_tab[[#This Row],[Revenue]],data_tab[Cost],data_tab[[#This Row],[Cost]]))&gt;1,"Duplicate","Unique")</f>
        <v>Unique</v>
      </c>
      <c r="M595">
        <f>data_tab[[#This Row],[Revenue]]-data_tab[[#This Row],[Cost]]</f>
        <v>3927.0330399899995</v>
      </c>
      <c r="N595" t="str">
        <f>IF(data_tab[[#This Row],[Revenue]]&lt;0,"Return","Sale")</f>
        <v>Sale</v>
      </c>
    </row>
    <row r="596" spans="1:14" hidden="1">
      <c r="A596" s="1">
        <v>46199</v>
      </c>
      <c r="B596">
        <f>MONTH(data_tab[[#This Row],[Order Date]])</f>
        <v>6</v>
      </c>
      <c r="C596">
        <f>YEAR(data_tab[[#This Row],[Order Date]])</f>
        <v>2026</v>
      </c>
      <c r="D596" t="s">
        <v>31</v>
      </c>
      <c r="E596" t="s">
        <v>32</v>
      </c>
      <c r="F596" t="s">
        <v>24</v>
      </c>
      <c r="G596" t="s">
        <v>33</v>
      </c>
      <c r="H596">
        <v>2</v>
      </c>
      <c r="I596">
        <v>14188</v>
      </c>
      <c r="J596">
        <v>7200.7301444868199</v>
      </c>
      <c r="K596" t="str">
        <f>IF(AND(data_tab[[#This Row],[Revenue]]="",data_tab[[#This Row],[Cost]]=""),"Remove",IF(OR(data_tab[[#This Row],[Revenue]]="",data_tab[[#This Row],[Cost]]=""),"Flag","Valid"))</f>
        <v>Valid</v>
      </c>
      <c r="L596" t="str">
        <f>IF((COUNTIFS(data_tab[Revenue],data_tab[[#This Row],[Revenue]],data_tab[Cost],data_tab[[#This Row],[Cost]]))&gt;1,"Duplicate","Unique")</f>
        <v>Unique</v>
      </c>
      <c r="M596">
        <f>data_tab[[#This Row],[Revenue]]-data_tab[[#This Row],[Cost]]</f>
        <v>6987.2698555131801</v>
      </c>
      <c r="N596" t="str">
        <f>IF(data_tab[[#This Row],[Revenue]]&lt;0,"Return","Sale")</f>
        <v>Sale</v>
      </c>
    </row>
    <row r="597" spans="1:14" hidden="1">
      <c r="A597" s="1">
        <v>46031</v>
      </c>
      <c r="B597">
        <f>MONTH(data_tab[[#This Row],[Order Date]])</f>
        <v>1</v>
      </c>
      <c r="C597">
        <f>YEAR(data_tab[[#This Row],[Order Date]])</f>
        <v>2026</v>
      </c>
      <c r="D597" t="s">
        <v>20</v>
      </c>
      <c r="E597" t="s">
        <v>15</v>
      </c>
      <c r="F597" t="s">
        <v>36</v>
      </c>
      <c r="G597" t="s">
        <v>39</v>
      </c>
      <c r="H597">
        <v>5</v>
      </c>
      <c r="I597">
        <v>24180</v>
      </c>
      <c r="J597">
        <v>12730.744477193901</v>
      </c>
      <c r="K597" t="str">
        <f>IF(AND(data_tab[[#This Row],[Revenue]]="",data_tab[[#This Row],[Cost]]=""),"Remove",IF(OR(data_tab[[#This Row],[Revenue]]="",data_tab[[#This Row],[Cost]]=""),"Flag","Valid"))</f>
        <v>Valid</v>
      </c>
      <c r="L597" t="str">
        <f>IF((COUNTIFS(data_tab[Revenue],data_tab[[#This Row],[Revenue]],data_tab[Cost],data_tab[[#This Row],[Cost]]))&gt;1,"Duplicate","Unique")</f>
        <v>Unique</v>
      </c>
      <c r="M597">
        <f>data_tab[[#This Row],[Revenue]]-data_tab[[#This Row],[Cost]]</f>
        <v>11449.255522806099</v>
      </c>
      <c r="N597" t="str">
        <f>IF(data_tab[[#This Row],[Revenue]]&lt;0,"Return","Sale")</f>
        <v>Sale</v>
      </c>
    </row>
    <row r="598" spans="1:14" hidden="1">
      <c r="A598" s="1">
        <v>46177</v>
      </c>
      <c r="B598">
        <f>MONTH(data_tab[[#This Row],[Order Date]])</f>
        <v>6</v>
      </c>
      <c r="C598">
        <f>YEAR(data_tab[[#This Row],[Order Date]])</f>
        <v>2026</v>
      </c>
      <c r="D598" t="s">
        <v>31</v>
      </c>
      <c r="E598" t="s">
        <v>32</v>
      </c>
      <c r="F598" t="s">
        <v>16</v>
      </c>
      <c r="G598" t="s">
        <v>39</v>
      </c>
      <c r="H598">
        <v>2</v>
      </c>
      <c r="I598">
        <v>23078</v>
      </c>
      <c r="J598">
        <v>19347.3168860636</v>
      </c>
      <c r="K598" t="str">
        <f>IF(AND(data_tab[[#This Row],[Revenue]]="",data_tab[[#This Row],[Cost]]=""),"Remove",IF(OR(data_tab[[#This Row],[Revenue]]="",data_tab[[#This Row],[Cost]]=""),"Flag","Valid"))</f>
        <v>Valid</v>
      </c>
      <c r="L598" t="str">
        <f>IF((COUNTIFS(data_tab[Revenue],data_tab[[#This Row],[Revenue]],data_tab[Cost],data_tab[[#This Row],[Cost]]))&gt;1,"Duplicate","Unique")</f>
        <v>Unique</v>
      </c>
      <c r="M598">
        <f>data_tab[[#This Row],[Revenue]]-data_tab[[#This Row],[Cost]]</f>
        <v>3730.6831139364003</v>
      </c>
      <c r="N598" t="str">
        <f>IF(data_tab[[#This Row],[Revenue]]&lt;0,"Return","Sale")</f>
        <v>Sale</v>
      </c>
    </row>
    <row r="599" spans="1:14" hidden="1">
      <c r="A599" s="1">
        <v>46064</v>
      </c>
      <c r="B599">
        <f>MONTH(data_tab[[#This Row],[Order Date]])</f>
        <v>2</v>
      </c>
      <c r="C599">
        <f>YEAR(data_tab[[#This Row],[Order Date]])</f>
        <v>2026</v>
      </c>
      <c r="D599" t="s">
        <v>40</v>
      </c>
      <c r="E599" t="s">
        <v>15</v>
      </c>
      <c r="F599" t="s">
        <v>21</v>
      </c>
      <c r="G599" t="s">
        <v>26</v>
      </c>
      <c r="H599">
        <v>10</v>
      </c>
      <c r="I599">
        <v>64780</v>
      </c>
      <c r="K599" t="str">
        <f>IF(AND(data_tab[[#This Row],[Revenue]]="",data_tab[[#This Row],[Cost]]=""),"Remove",IF(OR(data_tab[[#This Row],[Revenue]]="",data_tab[[#This Row],[Cost]]=""),"Flag","Valid"))</f>
        <v>Flag</v>
      </c>
      <c r="L599" t="str">
        <f>IF((COUNTIFS(data_tab[Revenue],data_tab[[#This Row],[Revenue]],data_tab[Cost],data_tab[[#This Row],[Cost]]))&gt;1,"Duplicate","Unique")</f>
        <v>Unique</v>
      </c>
      <c r="M599">
        <f>data_tab[[#This Row],[Revenue]]-data_tab[[#This Row],[Cost]]</f>
        <v>64780</v>
      </c>
      <c r="N599" t="str">
        <f>IF(data_tab[[#This Row],[Revenue]]&lt;0,"Return","Sale")</f>
        <v>Sale</v>
      </c>
    </row>
    <row r="600" spans="1:14" hidden="1">
      <c r="A600" s="1">
        <v>46072</v>
      </c>
      <c r="B600">
        <f>MONTH(data_tab[[#This Row],[Order Date]])</f>
        <v>2</v>
      </c>
      <c r="C600">
        <f>YEAR(data_tab[[#This Row],[Order Date]])</f>
        <v>2026</v>
      </c>
      <c r="D600" t="s">
        <v>23</v>
      </c>
      <c r="E600" t="s">
        <v>15</v>
      </c>
      <c r="F600" t="s">
        <v>24</v>
      </c>
      <c r="G600" t="s">
        <v>41</v>
      </c>
      <c r="H600">
        <v>2</v>
      </c>
      <c r="I600">
        <v>32050</v>
      </c>
      <c r="J600">
        <v>27825.5174216909</v>
      </c>
      <c r="K600" t="str">
        <f>IF(AND(data_tab[[#This Row],[Revenue]]="",data_tab[[#This Row],[Cost]]=""),"Remove",IF(OR(data_tab[[#This Row],[Revenue]]="",data_tab[[#This Row],[Cost]]=""),"Flag","Valid"))</f>
        <v>Valid</v>
      </c>
      <c r="L600" t="str">
        <f>IF((COUNTIFS(data_tab[Revenue],data_tab[[#This Row],[Revenue]],data_tab[Cost],data_tab[[#This Row],[Cost]]))&gt;1,"Duplicate","Unique")</f>
        <v>Unique</v>
      </c>
      <c r="M600">
        <f>data_tab[[#This Row],[Revenue]]-data_tab[[#This Row],[Cost]]</f>
        <v>4224.4825783091001</v>
      </c>
      <c r="N600" t="str">
        <f>IF(data_tab[[#This Row],[Revenue]]&lt;0,"Return","Sale")</f>
        <v>Sale</v>
      </c>
    </row>
    <row r="601" spans="1:14" hidden="1">
      <c r="A601" s="1">
        <v>46070</v>
      </c>
      <c r="B601">
        <f>MONTH(data_tab[[#This Row],[Order Date]])</f>
        <v>2</v>
      </c>
      <c r="C601">
        <f>YEAR(data_tab[[#This Row],[Order Date]])</f>
        <v>2026</v>
      </c>
      <c r="D601" t="s">
        <v>31</v>
      </c>
      <c r="E601" t="s">
        <v>32</v>
      </c>
      <c r="F601" t="s">
        <v>16</v>
      </c>
      <c r="G601" t="s">
        <v>33</v>
      </c>
      <c r="H601">
        <v>7</v>
      </c>
      <c r="I601">
        <v>112294</v>
      </c>
      <c r="J601">
        <v>79245.920846721405</v>
      </c>
      <c r="K601" t="str">
        <f>IF(AND(data_tab[[#This Row],[Revenue]]="",data_tab[[#This Row],[Cost]]=""),"Remove",IF(OR(data_tab[[#This Row],[Revenue]]="",data_tab[[#This Row],[Cost]]=""),"Flag","Valid"))</f>
        <v>Valid</v>
      </c>
      <c r="L601" t="str">
        <f>IF((COUNTIFS(data_tab[Revenue],data_tab[[#This Row],[Revenue]],data_tab[Cost],data_tab[[#This Row],[Cost]]))&gt;1,"Duplicate","Unique")</f>
        <v>Unique</v>
      </c>
      <c r="M601">
        <f>data_tab[[#This Row],[Revenue]]-data_tab[[#This Row],[Cost]]</f>
        <v>33048.079153278595</v>
      </c>
      <c r="N601" t="str">
        <f>IF(data_tab[[#This Row],[Revenue]]&lt;0,"Return","Sale")</f>
        <v>Sale</v>
      </c>
    </row>
    <row r="602" spans="1:14" hidden="1">
      <c r="A602" s="1">
        <v>46142</v>
      </c>
      <c r="B602">
        <f>MONTH(data_tab[[#This Row],[Order Date]])</f>
        <v>4</v>
      </c>
      <c r="C602">
        <f>YEAR(data_tab[[#This Row],[Order Date]])</f>
        <v>2026</v>
      </c>
      <c r="D602" t="s">
        <v>31</v>
      </c>
      <c r="E602" t="s">
        <v>32</v>
      </c>
      <c r="F602" t="s">
        <v>36</v>
      </c>
      <c r="G602" t="s">
        <v>37</v>
      </c>
      <c r="H602">
        <v>5</v>
      </c>
      <c r="I602">
        <v>192560</v>
      </c>
      <c r="J602">
        <v>151901.847345291</v>
      </c>
      <c r="K602" t="str">
        <f>IF(AND(data_tab[[#This Row],[Revenue]]="",data_tab[[#This Row],[Cost]]=""),"Remove",IF(OR(data_tab[[#This Row],[Revenue]]="",data_tab[[#This Row],[Cost]]=""),"Flag","Valid"))</f>
        <v>Valid</v>
      </c>
      <c r="L602" t="str">
        <f>IF((COUNTIFS(data_tab[Revenue],data_tab[[#This Row],[Revenue]],data_tab[Cost],data_tab[[#This Row],[Cost]]))&gt;1,"Duplicate","Unique")</f>
        <v>Unique</v>
      </c>
      <c r="M602">
        <f>data_tab[[#This Row],[Revenue]]-data_tab[[#This Row],[Cost]]</f>
        <v>40658.152654709003</v>
      </c>
      <c r="N602" t="str">
        <f>IF(data_tab[[#This Row],[Revenue]]&lt;0,"Return","Sale")</f>
        <v>Sale</v>
      </c>
    </row>
    <row r="603" spans="1:14" hidden="1">
      <c r="A603" s="1">
        <v>46139</v>
      </c>
      <c r="B603">
        <f>MONTH(data_tab[[#This Row],[Order Date]])</f>
        <v>4</v>
      </c>
      <c r="C603">
        <f>YEAR(data_tab[[#This Row],[Order Date]])</f>
        <v>2026</v>
      </c>
      <c r="D603" t="s">
        <v>23</v>
      </c>
      <c r="E603" t="s">
        <v>15</v>
      </c>
      <c r="F603" t="s">
        <v>36</v>
      </c>
      <c r="G603" t="s">
        <v>17</v>
      </c>
      <c r="H603">
        <v>9</v>
      </c>
      <c r="I603">
        <v>258219</v>
      </c>
      <c r="J603">
        <v>159123.77396672301</v>
      </c>
      <c r="K603" t="str">
        <f>IF(AND(data_tab[[#This Row],[Revenue]]="",data_tab[[#This Row],[Cost]]=""),"Remove",IF(OR(data_tab[[#This Row],[Revenue]]="",data_tab[[#This Row],[Cost]]=""),"Flag","Valid"))</f>
        <v>Valid</v>
      </c>
      <c r="L603" t="str">
        <f>IF((COUNTIFS(data_tab[Revenue],data_tab[[#This Row],[Revenue]],data_tab[Cost],data_tab[[#This Row],[Cost]]))&gt;1,"Duplicate","Unique")</f>
        <v>Duplicate</v>
      </c>
      <c r="M603">
        <f>data_tab[[#This Row],[Revenue]]-data_tab[[#This Row],[Cost]]</f>
        <v>99095.226033276995</v>
      </c>
      <c r="N603" t="str">
        <f>IF(data_tab[[#This Row],[Revenue]]&lt;0,"Return","Sale")</f>
        <v>Sale</v>
      </c>
    </row>
    <row r="604" spans="1:14">
      <c r="A604" s="1">
        <v>46144</v>
      </c>
      <c r="B604">
        <f>MONTH(data_tab[[#This Row],[Order Date]])</f>
        <v>5</v>
      </c>
      <c r="C604">
        <f>YEAR(data_tab[[#This Row],[Order Date]])</f>
        <v>2026</v>
      </c>
      <c r="D604" t="s">
        <v>20</v>
      </c>
      <c r="E604" t="s">
        <v>15</v>
      </c>
      <c r="F604" t="s">
        <v>36</v>
      </c>
      <c r="G604" t="s">
        <v>41</v>
      </c>
      <c r="H604">
        <v>2</v>
      </c>
      <c r="I604">
        <v>55952</v>
      </c>
      <c r="J604">
        <v>37780.096328723397</v>
      </c>
      <c r="K604" t="str">
        <f>IF(AND(data_tab[[#This Row],[Revenue]]="",data_tab[[#This Row],[Cost]]=""),"Remove",IF(OR(data_tab[[#This Row],[Revenue]]="",data_tab[[#This Row],[Cost]]=""),"Flag","Valid"))</f>
        <v>Valid</v>
      </c>
      <c r="L604" t="str">
        <f>IF((COUNTIFS(data_tab[Revenue],data_tab[[#This Row],[Revenue]],data_tab[Cost],data_tab[[#This Row],[Cost]]))&gt;1,"Duplicate","Unique")</f>
        <v>Unique</v>
      </c>
      <c r="M604">
        <f>data_tab[[#This Row],[Revenue]]-data_tab[[#This Row],[Cost]]</f>
        <v>18171.903671276603</v>
      </c>
      <c r="N604" t="str">
        <f>IF(data_tab[[#This Row],[Revenue]]&lt;0,"Return","Sale")</f>
        <v>Sale</v>
      </c>
    </row>
    <row r="605" spans="1:14" hidden="1">
      <c r="A605" s="1">
        <v>46125</v>
      </c>
      <c r="B605">
        <f>MONTH(data_tab[[#This Row],[Order Date]])</f>
        <v>4</v>
      </c>
      <c r="C605">
        <f>YEAR(data_tab[[#This Row],[Order Date]])</f>
        <v>2026</v>
      </c>
      <c r="D605" t="s">
        <v>14</v>
      </c>
      <c r="E605" t="s">
        <v>15</v>
      </c>
      <c r="F605" t="s">
        <v>21</v>
      </c>
      <c r="G605" t="s">
        <v>39</v>
      </c>
      <c r="H605">
        <v>6</v>
      </c>
      <c r="I605">
        <v>90282</v>
      </c>
      <c r="J605">
        <v>57369.9369178419</v>
      </c>
      <c r="K605" t="str">
        <f>IF(AND(data_tab[[#This Row],[Revenue]]="",data_tab[[#This Row],[Cost]]=""),"Remove",IF(OR(data_tab[[#This Row],[Revenue]]="",data_tab[[#This Row],[Cost]]=""),"Flag","Valid"))</f>
        <v>Valid</v>
      </c>
      <c r="L605" t="str">
        <f>IF((COUNTIFS(data_tab[Revenue],data_tab[[#This Row],[Revenue]],data_tab[Cost],data_tab[[#This Row],[Cost]]))&gt;1,"Duplicate","Unique")</f>
        <v>Unique</v>
      </c>
      <c r="M605">
        <f>data_tab[[#This Row],[Revenue]]-data_tab[[#This Row],[Cost]]</f>
        <v>32912.0630821581</v>
      </c>
      <c r="N605" t="str">
        <f>IF(data_tab[[#This Row],[Revenue]]&lt;0,"Return","Sale")</f>
        <v>Sale</v>
      </c>
    </row>
    <row r="606" spans="1:14" hidden="1">
      <c r="A606" s="1">
        <v>46131</v>
      </c>
      <c r="B606">
        <f>MONTH(data_tab[[#This Row],[Order Date]])</f>
        <v>4</v>
      </c>
      <c r="C606">
        <f>YEAR(data_tab[[#This Row],[Order Date]])</f>
        <v>2026</v>
      </c>
      <c r="D606" t="s">
        <v>14</v>
      </c>
      <c r="E606" t="s">
        <v>15</v>
      </c>
      <c r="F606" t="s">
        <v>16</v>
      </c>
      <c r="G606" t="s">
        <v>41</v>
      </c>
      <c r="H606">
        <v>7</v>
      </c>
      <c r="I606">
        <v>177359</v>
      </c>
      <c r="J606">
        <v>122436.32951163901</v>
      </c>
      <c r="K606" t="str">
        <f>IF(AND(data_tab[[#This Row],[Revenue]]="",data_tab[[#This Row],[Cost]]=""),"Remove",IF(OR(data_tab[[#This Row],[Revenue]]="",data_tab[[#This Row],[Cost]]=""),"Flag","Valid"))</f>
        <v>Valid</v>
      </c>
      <c r="L606" t="str">
        <f>IF((COUNTIFS(data_tab[Revenue],data_tab[[#This Row],[Revenue]],data_tab[Cost],data_tab[[#This Row],[Cost]]))&gt;1,"Duplicate","Unique")</f>
        <v>Unique</v>
      </c>
      <c r="M606">
        <f>data_tab[[#This Row],[Revenue]]-data_tab[[#This Row],[Cost]]</f>
        <v>54922.670488360993</v>
      </c>
      <c r="N606" t="str">
        <f>IF(data_tab[[#This Row],[Revenue]]&lt;0,"Return","Sale")</f>
        <v>Sale</v>
      </c>
    </row>
    <row r="607" spans="1:14" hidden="1">
      <c r="A607" s="1">
        <v>46094</v>
      </c>
      <c r="B607">
        <f>MONTH(data_tab[[#This Row],[Order Date]])</f>
        <v>3</v>
      </c>
      <c r="C607">
        <f>YEAR(data_tab[[#This Row],[Order Date]])</f>
        <v>2026</v>
      </c>
      <c r="D607" t="s">
        <v>29</v>
      </c>
      <c r="E607" t="s">
        <v>15</v>
      </c>
      <c r="F607" t="s">
        <v>24</v>
      </c>
      <c r="G607" t="s">
        <v>39</v>
      </c>
      <c r="H607">
        <v>5</v>
      </c>
      <c r="I607">
        <v>170345</v>
      </c>
      <c r="J607">
        <v>119055.74096645199</v>
      </c>
      <c r="K607" t="str">
        <f>IF(AND(data_tab[[#This Row],[Revenue]]="",data_tab[[#This Row],[Cost]]=""),"Remove",IF(OR(data_tab[[#This Row],[Revenue]]="",data_tab[[#This Row],[Cost]]=""),"Flag","Valid"))</f>
        <v>Valid</v>
      </c>
      <c r="L607" t="str">
        <f>IF((COUNTIFS(data_tab[Revenue],data_tab[[#This Row],[Revenue]],data_tab[Cost],data_tab[[#This Row],[Cost]]))&gt;1,"Duplicate","Unique")</f>
        <v>Unique</v>
      </c>
      <c r="M607">
        <f>data_tab[[#This Row],[Revenue]]-data_tab[[#This Row],[Cost]]</f>
        <v>51289.259033548005</v>
      </c>
      <c r="N607" t="str">
        <f>IF(data_tab[[#This Row],[Revenue]]&lt;0,"Return","Sale")</f>
        <v>Sale</v>
      </c>
    </row>
    <row r="608" spans="1:14" hidden="1">
      <c r="A608" s="1">
        <v>46036</v>
      </c>
      <c r="B608">
        <f>MONTH(data_tab[[#This Row],[Order Date]])</f>
        <v>1</v>
      </c>
      <c r="C608">
        <f>YEAR(data_tab[[#This Row],[Order Date]])</f>
        <v>2026</v>
      </c>
      <c r="D608" t="s">
        <v>20</v>
      </c>
      <c r="E608" t="s">
        <v>15</v>
      </c>
      <c r="F608" t="s">
        <v>21</v>
      </c>
      <c r="G608" t="s">
        <v>33</v>
      </c>
      <c r="H608">
        <v>10</v>
      </c>
      <c r="I608">
        <v>465120</v>
      </c>
      <c r="J608">
        <v>293389.48864746297</v>
      </c>
      <c r="K608" t="str">
        <f>IF(AND(data_tab[[#This Row],[Revenue]]="",data_tab[[#This Row],[Cost]]=""),"Remove",IF(OR(data_tab[[#This Row],[Revenue]]="",data_tab[[#This Row],[Cost]]=""),"Flag","Valid"))</f>
        <v>Valid</v>
      </c>
      <c r="L608" t="str">
        <f>IF((COUNTIFS(data_tab[Revenue],data_tab[[#This Row],[Revenue]],data_tab[Cost],data_tab[[#This Row],[Cost]]))&gt;1,"Duplicate","Unique")</f>
        <v>Unique</v>
      </c>
      <c r="M608">
        <f>data_tab[[#This Row],[Revenue]]-data_tab[[#This Row],[Cost]]</f>
        <v>171730.51135253703</v>
      </c>
      <c r="N608" t="str">
        <f>IF(data_tab[[#This Row],[Revenue]]&lt;0,"Return","Sale")</f>
        <v>Sale</v>
      </c>
    </row>
    <row r="609" spans="1:14" hidden="1">
      <c r="A609" s="1">
        <v>46192</v>
      </c>
      <c r="B609">
        <f>MONTH(data_tab[[#This Row],[Order Date]])</f>
        <v>6</v>
      </c>
      <c r="C609">
        <f>YEAR(data_tab[[#This Row],[Order Date]])</f>
        <v>2026</v>
      </c>
      <c r="D609" t="s">
        <v>23</v>
      </c>
      <c r="E609" t="s">
        <v>15</v>
      </c>
      <c r="F609" t="s">
        <v>36</v>
      </c>
      <c r="G609" t="s">
        <v>17</v>
      </c>
      <c r="H609">
        <v>5</v>
      </c>
      <c r="I609">
        <v>226950</v>
      </c>
      <c r="J609">
        <v>158674.275235421</v>
      </c>
      <c r="K609" t="str">
        <f>IF(AND(data_tab[[#This Row],[Revenue]]="",data_tab[[#This Row],[Cost]]=""),"Remove",IF(OR(data_tab[[#This Row],[Revenue]]="",data_tab[[#This Row],[Cost]]=""),"Flag","Valid"))</f>
        <v>Valid</v>
      </c>
      <c r="L609" t="str">
        <f>IF((COUNTIFS(data_tab[Revenue],data_tab[[#This Row],[Revenue]],data_tab[Cost],data_tab[[#This Row],[Cost]]))&gt;1,"Duplicate","Unique")</f>
        <v>Unique</v>
      </c>
      <c r="M609">
        <f>data_tab[[#This Row],[Revenue]]-data_tab[[#This Row],[Cost]]</f>
        <v>68275.724764579005</v>
      </c>
      <c r="N609" t="str">
        <f>IF(data_tab[[#This Row],[Revenue]]&lt;0,"Return","Sale")</f>
        <v>Sale</v>
      </c>
    </row>
    <row r="610" spans="1:14">
      <c r="A610" s="1">
        <v>46161</v>
      </c>
      <c r="B610">
        <f>MONTH(data_tab[[#This Row],[Order Date]])</f>
        <v>5</v>
      </c>
      <c r="C610">
        <f>YEAR(data_tab[[#This Row],[Order Date]])</f>
        <v>2026</v>
      </c>
      <c r="D610" t="s">
        <v>20</v>
      </c>
      <c r="E610" t="s">
        <v>15</v>
      </c>
      <c r="F610" t="s">
        <v>36</v>
      </c>
      <c r="G610" t="s">
        <v>39</v>
      </c>
      <c r="H610">
        <v>7</v>
      </c>
      <c r="I610">
        <v>220486</v>
      </c>
      <c r="J610">
        <v>137985.35971619701</v>
      </c>
      <c r="K610" t="str">
        <f>IF(AND(data_tab[[#This Row],[Revenue]]="",data_tab[[#This Row],[Cost]]=""),"Remove",IF(OR(data_tab[[#This Row],[Revenue]]="",data_tab[[#This Row],[Cost]]=""),"Flag","Valid"))</f>
        <v>Valid</v>
      </c>
      <c r="L610" t="str">
        <f>IF((COUNTIFS(data_tab[Revenue],data_tab[[#This Row],[Revenue]],data_tab[Cost],data_tab[[#This Row],[Cost]]))&gt;1,"Duplicate","Unique")</f>
        <v>Unique</v>
      </c>
      <c r="M610">
        <f>data_tab[[#This Row],[Revenue]]-data_tab[[#This Row],[Cost]]</f>
        <v>82500.64028380299</v>
      </c>
      <c r="N610" t="str">
        <f>IF(data_tab[[#This Row],[Revenue]]&lt;0,"Return","Sale")</f>
        <v>Sale</v>
      </c>
    </row>
    <row r="611" spans="1:14">
      <c r="A611" s="1">
        <v>46165</v>
      </c>
      <c r="B611">
        <f>MONTH(data_tab[[#This Row],[Order Date]])</f>
        <v>5</v>
      </c>
      <c r="C611">
        <f>YEAR(data_tab[[#This Row],[Order Date]])</f>
        <v>2026</v>
      </c>
      <c r="D611" t="s">
        <v>14</v>
      </c>
      <c r="E611" t="s">
        <v>15</v>
      </c>
      <c r="F611" t="s">
        <v>21</v>
      </c>
      <c r="G611" t="s">
        <v>33</v>
      </c>
      <c r="H611">
        <v>7</v>
      </c>
      <c r="I611">
        <v>75691</v>
      </c>
      <c r="J611">
        <v>47305.654114457298</v>
      </c>
      <c r="K611" t="str">
        <f>IF(AND(data_tab[[#This Row],[Revenue]]="",data_tab[[#This Row],[Cost]]=""),"Remove",IF(OR(data_tab[[#This Row],[Revenue]]="",data_tab[[#This Row],[Cost]]=""),"Flag","Valid"))</f>
        <v>Valid</v>
      </c>
      <c r="L611" t="str">
        <f>IF((COUNTIFS(data_tab[Revenue],data_tab[[#This Row],[Revenue]],data_tab[Cost],data_tab[[#This Row],[Cost]]))&gt;1,"Duplicate","Unique")</f>
        <v>Unique</v>
      </c>
      <c r="M611">
        <f>data_tab[[#This Row],[Revenue]]-data_tab[[#This Row],[Cost]]</f>
        <v>28385.345885542702</v>
      </c>
      <c r="N611" t="str">
        <f>IF(data_tab[[#This Row],[Revenue]]&lt;0,"Return","Sale")</f>
        <v>Sale</v>
      </c>
    </row>
    <row r="612" spans="1:14">
      <c r="A612" s="1">
        <v>46148</v>
      </c>
      <c r="B612">
        <f>MONTH(data_tab[[#This Row],[Order Date]])</f>
        <v>5</v>
      </c>
      <c r="C612">
        <f>YEAR(data_tab[[#This Row],[Order Date]])</f>
        <v>2026</v>
      </c>
      <c r="D612" t="s">
        <v>40</v>
      </c>
      <c r="E612" t="s">
        <v>15</v>
      </c>
      <c r="F612" t="s">
        <v>36</v>
      </c>
      <c r="G612" t="s">
        <v>33</v>
      </c>
      <c r="H612">
        <v>9</v>
      </c>
      <c r="I612">
        <v>110187</v>
      </c>
      <c r="J612">
        <v>77425.542186956096</v>
      </c>
      <c r="K612" t="str">
        <f>IF(AND(data_tab[[#This Row],[Revenue]]="",data_tab[[#This Row],[Cost]]=""),"Remove",IF(OR(data_tab[[#This Row],[Revenue]]="",data_tab[[#This Row],[Cost]]=""),"Flag","Valid"))</f>
        <v>Valid</v>
      </c>
      <c r="L612" t="str">
        <f>IF((COUNTIFS(data_tab[Revenue],data_tab[[#This Row],[Revenue]],data_tab[Cost],data_tab[[#This Row],[Cost]]))&gt;1,"Duplicate","Unique")</f>
        <v>Unique</v>
      </c>
      <c r="M612">
        <f>data_tab[[#This Row],[Revenue]]-data_tab[[#This Row],[Cost]]</f>
        <v>32761.457813043904</v>
      </c>
      <c r="N612" t="str">
        <f>IF(data_tab[[#This Row],[Revenue]]&lt;0,"Return","Sale")</f>
        <v>Sale</v>
      </c>
    </row>
    <row r="613" spans="1:14" hidden="1">
      <c r="A613" s="1">
        <v>46180</v>
      </c>
      <c r="B613">
        <f>MONTH(data_tab[[#This Row],[Order Date]])</f>
        <v>6</v>
      </c>
      <c r="C613">
        <f>YEAR(data_tab[[#This Row],[Order Date]])</f>
        <v>2026</v>
      </c>
      <c r="D613" t="s">
        <v>35</v>
      </c>
      <c r="E613" t="s">
        <v>32</v>
      </c>
      <c r="F613" t="s">
        <v>16</v>
      </c>
      <c r="G613" t="s">
        <v>39</v>
      </c>
      <c r="H613">
        <v>1</v>
      </c>
      <c r="I613">
        <v>40696</v>
      </c>
      <c r="J613">
        <v>21082.456210235199</v>
      </c>
      <c r="K613" t="str">
        <f>IF(AND(data_tab[[#This Row],[Revenue]]="",data_tab[[#This Row],[Cost]]=""),"Remove",IF(OR(data_tab[[#This Row],[Revenue]]="",data_tab[[#This Row],[Cost]]=""),"Flag","Valid"))</f>
        <v>Valid</v>
      </c>
      <c r="L613" t="str">
        <f>IF((COUNTIFS(data_tab[Revenue],data_tab[[#This Row],[Revenue]],data_tab[Cost],data_tab[[#This Row],[Cost]]))&gt;1,"Duplicate","Unique")</f>
        <v>Unique</v>
      </c>
      <c r="M613">
        <f>data_tab[[#This Row],[Revenue]]-data_tab[[#This Row],[Cost]]</f>
        <v>19613.543789764801</v>
      </c>
      <c r="N613" t="str">
        <f>IF(data_tab[[#This Row],[Revenue]]&lt;0,"Return","Sale")</f>
        <v>Sale</v>
      </c>
    </row>
    <row r="614" spans="1:14" hidden="1">
      <c r="A614" s="1">
        <v>46029</v>
      </c>
      <c r="B614">
        <f>MONTH(data_tab[[#This Row],[Order Date]])</f>
        <v>1</v>
      </c>
      <c r="C614">
        <f>YEAR(data_tab[[#This Row],[Order Date]])</f>
        <v>2026</v>
      </c>
      <c r="D614" t="s">
        <v>29</v>
      </c>
      <c r="E614" t="s">
        <v>15</v>
      </c>
      <c r="F614" t="s">
        <v>24</v>
      </c>
      <c r="G614" t="s">
        <v>33</v>
      </c>
      <c r="H614">
        <v>6</v>
      </c>
      <c r="I614">
        <v>152520</v>
      </c>
      <c r="J614">
        <v>101391.001192854</v>
      </c>
      <c r="K614" t="str">
        <f>IF(AND(data_tab[[#This Row],[Revenue]]="",data_tab[[#This Row],[Cost]]=""),"Remove",IF(OR(data_tab[[#This Row],[Revenue]]="",data_tab[[#This Row],[Cost]]=""),"Flag","Valid"))</f>
        <v>Valid</v>
      </c>
      <c r="L614" t="str">
        <f>IF((COUNTIFS(data_tab[Revenue],data_tab[[#This Row],[Revenue]],data_tab[Cost],data_tab[[#This Row],[Cost]]))&gt;1,"Duplicate","Unique")</f>
        <v>Unique</v>
      </c>
      <c r="M614">
        <f>data_tab[[#This Row],[Revenue]]-data_tab[[#This Row],[Cost]]</f>
        <v>51128.998807145996</v>
      </c>
      <c r="N614" t="str">
        <f>IF(data_tab[[#This Row],[Revenue]]&lt;0,"Return","Sale")</f>
        <v>Sale</v>
      </c>
    </row>
    <row r="615" spans="1:14" hidden="1">
      <c r="A615" s="1">
        <v>46102</v>
      </c>
      <c r="B615">
        <f>MONTH(data_tab[[#This Row],[Order Date]])</f>
        <v>3</v>
      </c>
      <c r="C615">
        <f>YEAR(data_tab[[#This Row],[Order Date]])</f>
        <v>2026</v>
      </c>
      <c r="D615" t="s">
        <v>20</v>
      </c>
      <c r="E615" t="s">
        <v>15</v>
      </c>
      <c r="F615" t="s">
        <v>16</v>
      </c>
      <c r="G615" t="s">
        <v>39</v>
      </c>
      <c r="H615">
        <v>6</v>
      </c>
      <c r="I615">
        <v>78756</v>
      </c>
      <c r="J615">
        <v>39998.974999938997</v>
      </c>
      <c r="K615" t="str">
        <f>IF(AND(data_tab[[#This Row],[Revenue]]="",data_tab[[#This Row],[Cost]]=""),"Remove",IF(OR(data_tab[[#This Row],[Revenue]]="",data_tab[[#This Row],[Cost]]=""),"Flag","Valid"))</f>
        <v>Valid</v>
      </c>
      <c r="L615" t="str">
        <f>IF((COUNTIFS(data_tab[Revenue],data_tab[[#This Row],[Revenue]],data_tab[Cost],data_tab[[#This Row],[Cost]]))&gt;1,"Duplicate","Unique")</f>
        <v>Unique</v>
      </c>
      <c r="M615">
        <f>data_tab[[#This Row],[Revenue]]-data_tab[[#This Row],[Cost]]</f>
        <v>38757.025000061003</v>
      </c>
      <c r="N615" t="str">
        <f>IF(data_tab[[#This Row],[Revenue]]&lt;0,"Return","Sale")</f>
        <v>Sale</v>
      </c>
    </row>
    <row r="616" spans="1:14">
      <c r="A616" s="1">
        <v>46168</v>
      </c>
      <c r="B616">
        <f>MONTH(data_tab[[#This Row],[Order Date]])</f>
        <v>5</v>
      </c>
      <c r="C616">
        <f>YEAR(data_tab[[#This Row],[Order Date]])</f>
        <v>2026</v>
      </c>
      <c r="D616" t="s">
        <v>20</v>
      </c>
      <c r="E616" t="s">
        <v>15</v>
      </c>
      <c r="F616" t="s">
        <v>36</v>
      </c>
      <c r="G616" t="s">
        <v>26</v>
      </c>
      <c r="H616">
        <v>1</v>
      </c>
      <c r="I616">
        <v>22743</v>
      </c>
      <c r="J616">
        <v>14807.854434950799</v>
      </c>
      <c r="K616" t="str">
        <f>IF(AND(data_tab[[#This Row],[Revenue]]="",data_tab[[#This Row],[Cost]]=""),"Remove",IF(OR(data_tab[[#This Row],[Revenue]]="",data_tab[[#This Row],[Cost]]=""),"Flag","Valid"))</f>
        <v>Valid</v>
      </c>
      <c r="L616" t="str">
        <f>IF((COUNTIFS(data_tab[Revenue],data_tab[[#This Row],[Revenue]],data_tab[Cost],data_tab[[#This Row],[Cost]]))&gt;1,"Duplicate","Unique")</f>
        <v>Unique</v>
      </c>
      <c r="M616">
        <f>data_tab[[#This Row],[Revenue]]-data_tab[[#This Row],[Cost]]</f>
        <v>7935.1455650492007</v>
      </c>
      <c r="N616" t="str">
        <f>IF(data_tab[[#This Row],[Revenue]]&lt;0,"Return","Sale")</f>
        <v>Sale</v>
      </c>
    </row>
    <row r="617" spans="1:14" hidden="1">
      <c r="A617" s="1">
        <v>46048</v>
      </c>
      <c r="B617">
        <f>MONTH(data_tab[[#This Row],[Order Date]])</f>
        <v>1</v>
      </c>
      <c r="C617">
        <f>YEAR(data_tab[[#This Row],[Order Date]])</f>
        <v>2026</v>
      </c>
      <c r="D617" t="s">
        <v>29</v>
      </c>
      <c r="E617" t="s">
        <v>15</v>
      </c>
      <c r="F617" t="s">
        <v>16</v>
      </c>
      <c r="G617" t="s">
        <v>17</v>
      </c>
      <c r="H617">
        <v>10</v>
      </c>
      <c r="I617">
        <v>216290</v>
      </c>
      <c r="J617">
        <v>139579.23076223501</v>
      </c>
      <c r="K617" t="str">
        <f>IF(AND(data_tab[[#This Row],[Revenue]]="",data_tab[[#This Row],[Cost]]=""),"Remove",IF(OR(data_tab[[#This Row],[Revenue]]="",data_tab[[#This Row],[Cost]]=""),"Flag","Valid"))</f>
        <v>Valid</v>
      </c>
      <c r="L617" t="str">
        <f>IF((COUNTIFS(data_tab[Revenue],data_tab[[#This Row],[Revenue]],data_tab[Cost],data_tab[[#This Row],[Cost]]))&gt;1,"Duplicate","Unique")</f>
        <v>Unique</v>
      </c>
      <c r="M617">
        <f>data_tab[[#This Row],[Revenue]]-data_tab[[#This Row],[Cost]]</f>
        <v>76710.769237764995</v>
      </c>
      <c r="N617" t="str">
        <f>IF(data_tab[[#This Row],[Revenue]]&lt;0,"Return","Sale")</f>
        <v>Sale</v>
      </c>
    </row>
    <row r="618" spans="1:14" hidden="1">
      <c r="A618" s="1">
        <v>46042</v>
      </c>
      <c r="B618">
        <f>MONTH(data_tab[[#This Row],[Order Date]])</f>
        <v>1</v>
      </c>
      <c r="C618">
        <f>YEAR(data_tab[[#This Row],[Order Date]])</f>
        <v>2026</v>
      </c>
      <c r="D618" t="s">
        <v>35</v>
      </c>
      <c r="E618" t="s">
        <v>32</v>
      </c>
      <c r="F618" t="s">
        <v>16</v>
      </c>
      <c r="G618" t="s">
        <v>39</v>
      </c>
      <c r="H618">
        <v>5</v>
      </c>
      <c r="I618">
        <v>197930</v>
      </c>
      <c r="J618">
        <v>130794.30952747101</v>
      </c>
      <c r="K618" t="str">
        <f>IF(AND(data_tab[[#This Row],[Revenue]]="",data_tab[[#This Row],[Cost]]=""),"Remove",IF(OR(data_tab[[#This Row],[Revenue]]="",data_tab[[#This Row],[Cost]]=""),"Flag","Valid"))</f>
        <v>Valid</v>
      </c>
      <c r="L618" t="str">
        <f>IF((COUNTIFS(data_tab[Revenue],data_tab[[#This Row],[Revenue]],data_tab[Cost],data_tab[[#This Row],[Cost]]))&gt;1,"Duplicate","Unique")</f>
        <v>Unique</v>
      </c>
      <c r="M618">
        <f>data_tab[[#This Row],[Revenue]]-data_tab[[#This Row],[Cost]]</f>
        <v>67135.690472528993</v>
      </c>
      <c r="N618" t="str">
        <f>IF(data_tab[[#This Row],[Revenue]]&lt;0,"Return","Sale")</f>
        <v>Sale</v>
      </c>
    </row>
    <row r="619" spans="1:14">
      <c r="A619" s="1">
        <v>46171</v>
      </c>
      <c r="B619">
        <f>MONTH(data_tab[[#This Row],[Order Date]])</f>
        <v>5</v>
      </c>
      <c r="C619">
        <f>YEAR(data_tab[[#This Row],[Order Date]])</f>
        <v>2026</v>
      </c>
      <c r="D619" t="s">
        <v>35</v>
      </c>
      <c r="E619" t="s">
        <v>32</v>
      </c>
      <c r="F619" t="s">
        <v>16</v>
      </c>
      <c r="G619" t="s">
        <v>39</v>
      </c>
      <c r="H619">
        <v>10</v>
      </c>
      <c r="I619">
        <v>368030</v>
      </c>
      <c r="J619">
        <v>253980.20686265099</v>
      </c>
      <c r="K619" t="str">
        <f>IF(AND(data_tab[[#This Row],[Revenue]]="",data_tab[[#This Row],[Cost]]=""),"Remove",IF(OR(data_tab[[#This Row],[Revenue]]="",data_tab[[#This Row],[Cost]]=""),"Flag","Valid"))</f>
        <v>Valid</v>
      </c>
      <c r="L619" t="str">
        <f>IF((COUNTIFS(data_tab[Revenue],data_tab[[#This Row],[Revenue]],data_tab[Cost],data_tab[[#This Row],[Cost]]))&gt;1,"Duplicate","Unique")</f>
        <v>Unique</v>
      </c>
      <c r="M619">
        <f>data_tab[[#This Row],[Revenue]]-data_tab[[#This Row],[Cost]]</f>
        <v>114049.79313734901</v>
      </c>
      <c r="N619" t="str">
        <f>IF(data_tab[[#This Row],[Revenue]]&lt;0,"Return","Sale")</f>
        <v>Sale</v>
      </c>
    </row>
    <row r="620" spans="1:14" hidden="1">
      <c r="A620" s="1">
        <v>46100</v>
      </c>
      <c r="B620">
        <f>MONTH(data_tab[[#This Row],[Order Date]])</f>
        <v>3</v>
      </c>
      <c r="C620">
        <f>YEAR(data_tab[[#This Row],[Order Date]])</f>
        <v>2026</v>
      </c>
      <c r="D620" t="s">
        <v>14</v>
      </c>
      <c r="E620" t="s">
        <v>15</v>
      </c>
      <c r="F620" t="s">
        <v>16</v>
      </c>
      <c r="G620" t="s">
        <v>17</v>
      </c>
      <c r="H620">
        <v>7</v>
      </c>
      <c r="I620">
        <v>198555</v>
      </c>
      <c r="J620">
        <v>119233.452379061</v>
      </c>
      <c r="K620" t="str">
        <f>IF(AND(data_tab[[#This Row],[Revenue]]="",data_tab[[#This Row],[Cost]]=""),"Remove",IF(OR(data_tab[[#This Row],[Revenue]]="",data_tab[[#This Row],[Cost]]=""),"Flag","Valid"))</f>
        <v>Valid</v>
      </c>
      <c r="L620" t="str">
        <f>IF((COUNTIFS(data_tab[Revenue],data_tab[[#This Row],[Revenue]],data_tab[Cost],data_tab[[#This Row],[Cost]]))&gt;1,"Duplicate","Unique")</f>
        <v>Unique</v>
      </c>
      <c r="M620">
        <f>data_tab[[#This Row],[Revenue]]-data_tab[[#This Row],[Cost]]</f>
        <v>79321.547620939004</v>
      </c>
      <c r="N620" t="str">
        <f>IF(data_tab[[#This Row],[Revenue]]&lt;0,"Return","Sale")</f>
        <v>Sale</v>
      </c>
    </row>
    <row r="621" spans="1:14" hidden="1">
      <c r="A621" s="1">
        <v>46027</v>
      </c>
      <c r="B621">
        <f>MONTH(data_tab[[#This Row],[Order Date]])</f>
        <v>1</v>
      </c>
      <c r="C621">
        <f>YEAR(data_tab[[#This Row],[Order Date]])</f>
        <v>2026</v>
      </c>
      <c r="D621" t="s">
        <v>31</v>
      </c>
      <c r="E621" t="s">
        <v>32</v>
      </c>
      <c r="F621" t="s">
        <v>36</v>
      </c>
      <c r="G621" t="s">
        <v>17</v>
      </c>
      <c r="H621">
        <v>8</v>
      </c>
      <c r="I621">
        <v>156472</v>
      </c>
      <c r="J621">
        <v>136891.902916889</v>
      </c>
      <c r="K621" t="str">
        <f>IF(AND(data_tab[[#This Row],[Revenue]]="",data_tab[[#This Row],[Cost]]=""),"Remove",IF(OR(data_tab[[#This Row],[Revenue]]="",data_tab[[#This Row],[Cost]]=""),"Flag","Valid"))</f>
        <v>Valid</v>
      </c>
      <c r="L621" t="str">
        <f>IF((COUNTIFS(data_tab[Revenue],data_tab[[#This Row],[Revenue]],data_tab[Cost],data_tab[[#This Row],[Cost]]))&gt;1,"Duplicate","Unique")</f>
        <v>Unique</v>
      </c>
      <c r="M621">
        <f>data_tab[[#This Row],[Revenue]]-data_tab[[#This Row],[Cost]]</f>
        <v>19580.097083111003</v>
      </c>
      <c r="N621" t="str">
        <f>IF(data_tab[[#This Row],[Revenue]]&lt;0,"Return","Sale")</f>
        <v>Sale</v>
      </c>
    </row>
    <row r="622" spans="1:14" hidden="1">
      <c r="A622" s="1">
        <v>46134</v>
      </c>
      <c r="B622">
        <f>MONTH(data_tab[[#This Row],[Order Date]])</f>
        <v>4</v>
      </c>
      <c r="C622">
        <f>YEAR(data_tab[[#This Row],[Order Date]])</f>
        <v>2026</v>
      </c>
      <c r="D622" t="s">
        <v>20</v>
      </c>
      <c r="E622" t="s">
        <v>15</v>
      </c>
      <c r="F622" t="s">
        <v>21</v>
      </c>
      <c r="G622" t="s">
        <v>37</v>
      </c>
      <c r="H622">
        <v>8</v>
      </c>
      <c r="I622">
        <v>93456</v>
      </c>
      <c r="J622">
        <v>55713.755068011698</v>
      </c>
      <c r="K622" t="str">
        <f>IF(AND(data_tab[[#This Row],[Revenue]]="",data_tab[[#This Row],[Cost]]=""),"Remove",IF(OR(data_tab[[#This Row],[Revenue]]="",data_tab[[#This Row],[Cost]]=""),"Flag","Valid"))</f>
        <v>Valid</v>
      </c>
      <c r="L622" t="str">
        <f>IF((COUNTIFS(data_tab[Revenue],data_tab[[#This Row],[Revenue]],data_tab[Cost],data_tab[[#This Row],[Cost]]))&gt;1,"Duplicate","Unique")</f>
        <v>Unique</v>
      </c>
      <c r="M622">
        <f>data_tab[[#This Row],[Revenue]]-data_tab[[#This Row],[Cost]]</f>
        <v>37742.244931988302</v>
      </c>
      <c r="N622" t="str">
        <f>IF(data_tab[[#This Row],[Revenue]]&lt;0,"Return","Sale")</f>
        <v>Sale</v>
      </c>
    </row>
    <row r="623" spans="1:14" hidden="1">
      <c r="A623" s="1">
        <v>46128</v>
      </c>
      <c r="B623">
        <f>MONTH(data_tab[[#This Row],[Order Date]])</f>
        <v>4</v>
      </c>
      <c r="C623">
        <f>YEAR(data_tab[[#This Row],[Order Date]])</f>
        <v>2026</v>
      </c>
      <c r="D623" t="s">
        <v>20</v>
      </c>
      <c r="E623" t="s">
        <v>15</v>
      </c>
      <c r="F623" t="s">
        <v>21</v>
      </c>
      <c r="G623" t="s">
        <v>33</v>
      </c>
      <c r="H623">
        <v>5</v>
      </c>
      <c r="I623">
        <v>104055</v>
      </c>
      <c r="J623">
        <v>78917.087329162896</v>
      </c>
      <c r="K623" t="str">
        <f>IF(AND(data_tab[[#This Row],[Revenue]]="",data_tab[[#This Row],[Cost]]=""),"Remove",IF(OR(data_tab[[#This Row],[Revenue]]="",data_tab[[#This Row],[Cost]]=""),"Flag","Valid"))</f>
        <v>Valid</v>
      </c>
      <c r="L623" t="str">
        <f>IF((COUNTIFS(data_tab[Revenue],data_tab[[#This Row],[Revenue]],data_tab[Cost],data_tab[[#This Row],[Cost]]))&gt;1,"Duplicate","Unique")</f>
        <v>Duplicate</v>
      </c>
      <c r="M623">
        <f>data_tab[[#This Row],[Revenue]]-data_tab[[#This Row],[Cost]]</f>
        <v>25137.912670837104</v>
      </c>
      <c r="N623" t="str">
        <f>IF(data_tab[[#This Row],[Revenue]]&lt;0,"Return","Sale")</f>
        <v>Sale</v>
      </c>
    </row>
    <row r="624" spans="1:14" hidden="1">
      <c r="A624" s="1">
        <v>46052</v>
      </c>
      <c r="B624">
        <f>MONTH(data_tab[[#This Row],[Order Date]])</f>
        <v>1</v>
      </c>
      <c r="C624">
        <f>YEAR(data_tab[[#This Row],[Order Date]])</f>
        <v>2026</v>
      </c>
      <c r="D624" t="s">
        <v>20</v>
      </c>
      <c r="E624" t="s">
        <v>15</v>
      </c>
      <c r="F624" t="s">
        <v>21</v>
      </c>
      <c r="G624" t="s">
        <v>37</v>
      </c>
      <c r="H624">
        <v>8</v>
      </c>
      <c r="I624">
        <v>270480</v>
      </c>
      <c r="J624">
        <v>195808.58753956799</v>
      </c>
      <c r="K624" t="str">
        <f>IF(AND(data_tab[[#This Row],[Revenue]]="",data_tab[[#This Row],[Cost]]=""),"Remove",IF(OR(data_tab[[#This Row],[Revenue]]="",data_tab[[#This Row],[Cost]]=""),"Flag","Valid"))</f>
        <v>Valid</v>
      </c>
      <c r="L624" t="str">
        <f>IF((COUNTIFS(data_tab[Revenue],data_tab[[#This Row],[Revenue]],data_tab[Cost],data_tab[[#This Row],[Cost]]))&gt;1,"Duplicate","Unique")</f>
        <v>Unique</v>
      </c>
      <c r="M624">
        <f>data_tab[[#This Row],[Revenue]]-data_tab[[#This Row],[Cost]]</f>
        <v>74671.41246043201</v>
      </c>
      <c r="N624" t="str">
        <f>IF(data_tab[[#This Row],[Revenue]]&lt;0,"Return","Sale")</f>
        <v>Sale</v>
      </c>
    </row>
    <row r="625" spans="1:14" hidden="1">
      <c r="A625" s="1">
        <v>46063</v>
      </c>
      <c r="B625">
        <f>MONTH(data_tab[[#This Row],[Order Date]])</f>
        <v>2</v>
      </c>
      <c r="C625">
        <f>YEAR(data_tab[[#This Row],[Order Date]])</f>
        <v>2026</v>
      </c>
      <c r="D625" t="s">
        <v>23</v>
      </c>
      <c r="E625" t="s">
        <v>15</v>
      </c>
      <c r="F625" t="s">
        <v>16</v>
      </c>
      <c r="G625" t="s">
        <v>41</v>
      </c>
      <c r="H625">
        <v>9</v>
      </c>
      <c r="J625">
        <v>92287.721818681006</v>
      </c>
      <c r="K625" t="str">
        <f>IF(AND(data_tab[[#This Row],[Revenue]]="",data_tab[[#This Row],[Cost]]=""),"Remove",IF(OR(data_tab[[#This Row],[Revenue]]="",data_tab[[#This Row],[Cost]]=""),"Flag","Valid"))</f>
        <v>Flag</v>
      </c>
      <c r="L625" t="str">
        <f>IF((COUNTIFS(data_tab[Revenue],data_tab[[#This Row],[Revenue]],data_tab[Cost],data_tab[[#This Row],[Cost]]))&gt;1,"Duplicate","Unique")</f>
        <v>Unique</v>
      </c>
      <c r="M625">
        <f>data_tab[[#This Row],[Revenue]]-data_tab[[#This Row],[Cost]]</f>
        <v>-92287.721818681006</v>
      </c>
      <c r="N625" t="str">
        <f>IF(data_tab[[#This Row],[Revenue]]&lt;0,"Return","Sale")</f>
        <v>Sale</v>
      </c>
    </row>
    <row r="626" spans="1:14" hidden="1">
      <c r="A626" s="1">
        <v>46037</v>
      </c>
      <c r="B626">
        <f>MONTH(data_tab[[#This Row],[Order Date]])</f>
        <v>1</v>
      </c>
      <c r="C626">
        <f>YEAR(data_tab[[#This Row],[Order Date]])</f>
        <v>2026</v>
      </c>
      <c r="D626" t="s">
        <v>40</v>
      </c>
      <c r="E626" t="s">
        <v>15</v>
      </c>
      <c r="F626" t="s">
        <v>16</v>
      </c>
      <c r="G626" t="s">
        <v>39</v>
      </c>
      <c r="H626">
        <v>7</v>
      </c>
      <c r="I626">
        <v>180726</v>
      </c>
      <c r="J626">
        <v>138918.44285741</v>
      </c>
      <c r="K626" t="str">
        <f>IF(AND(data_tab[[#This Row],[Revenue]]="",data_tab[[#This Row],[Cost]]=""),"Remove",IF(OR(data_tab[[#This Row],[Revenue]]="",data_tab[[#This Row],[Cost]]=""),"Flag","Valid"))</f>
        <v>Valid</v>
      </c>
      <c r="L626" t="str">
        <f>IF((COUNTIFS(data_tab[Revenue],data_tab[[#This Row],[Revenue]],data_tab[Cost],data_tab[[#This Row],[Cost]]))&gt;1,"Duplicate","Unique")</f>
        <v>Unique</v>
      </c>
      <c r="M626">
        <f>data_tab[[#This Row],[Revenue]]-data_tab[[#This Row],[Cost]]</f>
        <v>41807.557142589998</v>
      </c>
      <c r="N626" t="str">
        <f>IF(data_tab[[#This Row],[Revenue]]&lt;0,"Return","Sale")</f>
        <v>Sale</v>
      </c>
    </row>
    <row r="627" spans="1:14" hidden="1">
      <c r="A627" s="1">
        <v>46058</v>
      </c>
      <c r="B627">
        <f>MONTH(data_tab[[#This Row],[Order Date]])</f>
        <v>2</v>
      </c>
      <c r="C627">
        <f>YEAR(data_tab[[#This Row],[Order Date]])</f>
        <v>2026</v>
      </c>
      <c r="D627" t="s">
        <v>40</v>
      </c>
      <c r="E627" t="s">
        <v>15</v>
      </c>
      <c r="F627" t="s">
        <v>24</v>
      </c>
      <c r="G627" t="s">
        <v>26</v>
      </c>
      <c r="H627">
        <v>10</v>
      </c>
      <c r="I627">
        <v>364230</v>
      </c>
      <c r="J627">
        <v>218801.41965082899</v>
      </c>
      <c r="K627" t="str">
        <f>IF(AND(data_tab[[#This Row],[Revenue]]="",data_tab[[#This Row],[Cost]]=""),"Remove",IF(OR(data_tab[[#This Row],[Revenue]]="",data_tab[[#This Row],[Cost]]=""),"Flag","Valid"))</f>
        <v>Valid</v>
      </c>
      <c r="L627" t="str">
        <f>IF((COUNTIFS(data_tab[Revenue],data_tab[[#This Row],[Revenue]],data_tab[Cost],data_tab[[#This Row],[Cost]]))&gt;1,"Duplicate","Unique")</f>
        <v>Unique</v>
      </c>
      <c r="M627">
        <f>data_tab[[#This Row],[Revenue]]-data_tab[[#This Row],[Cost]]</f>
        <v>145428.58034917101</v>
      </c>
      <c r="N627" t="str">
        <f>IF(data_tab[[#This Row],[Revenue]]&lt;0,"Return","Sale")</f>
        <v>Sale</v>
      </c>
    </row>
    <row r="628" spans="1:14" hidden="1">
      <c r="A628" s="1">
        <v>46103</v>
      </c>
      <c r="B628">
        <f>MONTH(data_tab[[#This Row],[Order Date]])</f>
        <v>3</v>
      </c>
      <c r="C628">
        <f>YEAR(data_tab[[#This Row],[Order Date]])</f>
        <v>2026</v>
      </c>
      <c r="D628" t="s">
        <v>29</v>
      </c>
      <c r="E628" t="s">
        <v>15</v>
      </c>
      <c r="F628" t="s">
        <v>21</v>
      </c>
      <c r="G628" t="s">
        <v>33</v>
      </c>
      <c r="H628">
        <v>4</v>
      </c>
      <c r="I628">
        <v>45820</v>
      </c>
      <c r="J628">
        <v>24867.687234597099</v>
      </c>
      <c r="K628" t="str">
        <f>IF(AND(data_tab[[#This Row],[Revenue]]="",data_tab[[#This Row],[Cost]]=""),"Remove",IF(OR(data_tab[[#This Row],[Revenue]]="",data_tab[[#This Row],[Cost]]=""),"Flag","Valid"))</f>
        <v>Valid</v>
      </c>
      <c r="L628" t="str">
        <f>IF((COUNTIFS(data_tab[Revenue],data_tab[[#This Row],[Revenue]],data_tab[Cost],data_tab[[#This Row],[Cost]]))&gt;1,"Duplicate","Unique")</f>
        <v>Duplicate</v>
      </c>
      <c r="M628">
        <f>data_tab[[#This Row],[Revenue]]-data_tab[[#This Row],[Cost]]</f>
        <v>20952.312765402901</v>
      </c>
      <c r="N628" t="str">
        <f>IF(data_tab[[#This Row],[Revenue]]&lt;0,"Return","Sale")</f>
        <v>Sale</v>
      </c>
    </row>
    <row r="629" spans="1:14">
      <c r="A629" s="1">
        <v>46173</v>
      </c>
      <c r="B629">
        <f>MONTH(data_tab[[#This Row],[Order Date]])</f>
        <v>5</v>
      </c>
      <c r="C629">
        <f>YEAR(data_tab[[#This Row],[Order Date]])</f>
        <v>2026</v>
      </c>
      <c r="D629" t="s">
        <v>40</v>
      </c>
      <c r="E629" t="s">
        <v>15</v>
      </c>
      <c r="F629" t="s">
        <v>16</v>
      </c>
      <c r="G629" t="s">
        <v>41</v>
      </c>
      <c r="H629">
        <v>2</v>
      </c>
      <c r="I629">
        <v>45482</v>
      </c>
      <c r="J629">
        <v>32669.630240054099</v>
      </c>
      <c r="K629" t="str">
        <f>IF(AND(data_tab[[#This Row],[Revenue]]="",data_tab[[#This Row],[Cost]]=""),"Remove",IF(OR(data_tab[[#This Row],[Revenue]]="",data_tab[[#This Row],[Cost]]=""),"Flag","Valid"))</f>
        <v>Valid</v>
      </c>
      <c r="L629" t="str">
        <f>IF((COUNTIFS(data_tab[Revenue],data_tab[[#This Row],[Revenue]],data_tab[Cost],data_tab[[#This Row],[Cost]]))&gt;1,"Duplicate","Unique")</f>
        <v>Unique</v>
      </c>
      <c r="M629">
        <f>data_tab[[#This Row],[Revenue]]-data_tab[[#This Row],[Cost]]</f>
        <v>12812.369759945901</v>
      </c>
      <c r="N629" t="str">
        <f>IF(data_tab[[#This Row],[Revenue]]&lt;0,"Return","Sale")</f>
        <v>Sale</v>
      </c>
    </row>
    <row r="630" spans="1:14" hidden="1">
      <c r="A630" s="1">
        <v>46060</v>
      </c>
      <c r="B630">
        <f>MONTH(data_tab[[#This Row],[Order Date]])</f>
        <v>2</v>
      </c>
      <c r="C630">
        <f>YEAR(data_tab[[#This Row],[Order Date]])</f>
        <v>2026</v>
      </c>
      <c r="D630" t="s">
        <v>23</v>
      </c>
      <c r="E630" t="s">
        <v>15</v>
      </c>
      <c r="F630" t="s">
        <v>16</v>
      </c>
      <c r="G630" t="s">
        <v>39</v>
      </c>
      <c r="H630">
        <v>10</v>
      </c>
      <c r="I630">
        <v>42810</v>
      </c>
      <c r="J630">
        <v>35814.383078652099</v>
      </c>
      <c r="K630" t="str">
        <f>IF(AND(data_tab[[#This Row],[Revenue]]="",data_tab[[#This Row],[Cost]]=""),"Remove",IF(OR(data_tab[[#This Row],[Revenue]]="",data_tab[[#This Row],[Cost]]=""),"Flag","Valid"))</f>
        <v>Valid</v>
      </c>
      <c r="L630" t="str">
        <f>IF((COUNTIFS(data_tab[Revenue],data_tab[[#This Row],[Revenue]],data_tab[Cost],data_tab[[#This Row],[Cost]]))&gt;1,"Duplicate","Unique")</f>
        <v>Unique</v>
      </c>
      <c r="M630">
        <f>data_tab[[#This Row],[Revenue]]-data_tab[[#This Row],[Cost]]</f>
        <v>6995.6169213479006</v>
      </c>
      <c r="N630" t="str">
        <f>IF(data_tab[[#This Row],[Revenue]]&lt;0,"Return","Sale")</f>
        <v>Sale</v>
      </c>
    </row>
    <row r="631" spans="1:14" hidden="1">
      <c r="A631" s="1">
        <v>46194</v>
      </c>
      <c r="B631">
        <f>MONTH(data_tab[[#This Row],[Order Date]])</f>
        <v>6</v>
      </c>
      <c r="C631">
        <f>YEAR(data_tab[[#This Row],[Order Date]])</f>
        <v>2026</v>
      </c>
      <c r="D631" t="s">
        <v>35</v>
      </c>
      <c r="E631" t="s">
        <v>32</v>
      </c>
      <c r="F631" t="s">
        <v>16</v>
      </c>
      <c r="G631" t="s">
        <v>41</v>
      </c>
      <c r="H631">
        <v>2</v>
      </c>
      <c r="I631">
        <v>74110</v>
      </c>
      <c r="J631">
        <v>62754.9528090604</v>
      </c>
      <c r="K631" t="str">
        <f>IF(AND(data_tab[[#This Row],[Revenue]]="",data_tab[[#This Row],[Cost]]=""),"Remove",IF(OR(data_tab[[#This Row],[Revenue]]="",data_tab[[#This Row],[Cost]]=""),"Flag","Valid"))</f>
        <v>Valid</v>
      </c>
      <c r="L631" t="str">
        <f>IF((COUNTIFS(data_tab[Revenue],data_tab[[#This Row],[Revenue]],data_tab[Cost],data_tab[[#This Row],[Cost]]))&gt;1,"Duplicate","Unique")</f>
        <v>Unique</v>
      </c>
      <c r="M631">
        <f>data_tab[[#This Row],[Revenue]]-data_tab[[#This Row],[Cost]]</f>
        <v>11355.0471909396</v>
      </c>
      <c r="N631" t="str">
        <f>IF(data_tab[[#This Row],[Revenue]]&lt;0,"Return","Sale")</f>
        <v>Sale</v>
      </c>
    </row>
    <row r="632" spans="1:14" hidden="1">
      <c r="A632" s="1">
        <v>46123</v>
      </c>
      <c r="B632">
        <f>MONTH(data_tab[[#This Row],[Order Date]])</f>
        <v>4</v>
      </c>
      <c r="C632">
        <f>YEAR(data_tab[[#This Row],[Order Date]])</f>
        <v>2026</v>
      </c>
      <c r="D632" t="s">
        <v>35</v>
      </c>
      <c r="E632" t="s">
        <v>32</v>
      </c>
      <c r="F632" t="s">
        <v>24</v>
      </c>
      <c r="G632" t="s">
        <v>17</v>
      </c>
      <c r="H632">
        <v>5</v>
      </c>
      <c r="I632">
        <v>78935</v>
      </c>
      <c r="J632">
        <v>66602.724064608294</v>
      </c>
      <c r="K632" t="str">
        <f>IF(AND(data_tab[[#This Row],[Revenue]]="",data_tab[[#This Row],[Cost]]=""),"Remove",IF(OR(data_tab[[#This Row],[Revenue]]="",data_tab[[#This Row],[Cost]]=""),"Flag","Valid"))</f>
        <v>Valid</v>
      </c>
      <c r="L632" t="str">
        <f>IF((COUNTIFS(data_tab[Revenue],data_tab[[#This Row],[Revenue]],data_tab[Cost],data_tab[[#This Row],[Cost]]))&gt;1,"Duplicate","Unique")</f>
        <v>Unique</v>
      </c>
      <c r="M632">
        <f>data_tab[[#This Row],[Revenue]]-data_tab[[#This Row],[Cost]]</f>
        <v>12332.275935391706</v>
      </c>
      <c r="N632" t="str">
        <f>IF(data_tab[[#This Row],[Revenue]]&lt;0,"Return","Sale")</f>
        <v>Sale</v>
      </c>
    </row>
    <row r="633" spans="1:14" hidden="1">
      <c r="A633" s="1">
        <v>46187</v>
      </c>
      <c r="B633">
        <f>MONTH(data_tab[[#This Row],[Order Date]])</f>
        <v>6</v>
      </c>
      <c r="C633">
        <f>YEAR(data_tab[[#This Row],[Order Date]])</f>
        <v>2026</v>
      </c>
      <c r="D633" t="s">
        <v>23</v>
      </c>
      <c r="E633" t="s">
        <v>15</v>
      </c>
      <c r="F633" t="s">
        <v>24</v>
      </c>
      <c r="G633" t="s">
        <v>33</v>
      </c>
      <c r="H633">
        <v>8</v>
      </c>
      <c r="I633">
        <v>232504</v>
      </c>
      <c r="J633">
        <v>202417.72383784599</v>
      </c>
      <c r="K633" t="str">
        <f>IF(AND(data_tab[[#This Row],[Revenue]]="",data_tab[[#This Row],[Cost]]=""),"Remove",IF(OR(data_tab[[#This Row],[Revenue]]="",data_tab[[#This Row],[Cost]]=""),"Flag","Valid"))</f>
        <v>Valid</v>
      </c>
      <c r="L633" t="str">
        <f>IF((COUNTIFS(data_tab[Revenue],data_tab[[#This Row],[Revenue]],data_tab[Cost],data_tab[[#This Row],[Cost]]))&gt;1,"Duplicate","Unique")</f>
        <v>Unique</v>
      </c>
      <c r="M633">
        <f>data_tab[[#This Row],[Revenue]]-data_tab[[#This Row],[Cost]]</f>
        <v>30086.276162154012</v>
      </c>
      <c r="N633" t="str">
        <f>IF(data_tab[[#This Row],[Revenue]]&lt;0,"Return","Sale")</f>
        <v>Sale</v>
      </c>
    </row>
    <row r="634" spans="1:14" hidden="1">
      <c r="A634" s="1">
        <v>46048</v>
      </c>
      <c r="B634">
        <f>MONTH(data_tab[[#This Row],[Order Date]])</f>
        <v>1</v>
      </c>
      <c r="C634">
        <f>YEAR(data_tab[[#This Row],[Order Date]])</f>
        <v>2026</v>
      </c>
      <c r="D634" t="s">
        <v>40</v>
      </c>
      <c r="E634" t="s">
        <v>15</v>
      </c>
      <c r="F634" t="s">
        <v>24</v>
      </c>
      <c r="G634" t="s">
        <v>37</v>
      </c>
      <c r="H634">
        <v>7</v>
      </c>
      <c r="I634">
        <v>290220</v>
      </c>
      <c r="J634">
        <v>229765.03735426901</v>
      </c>
      <c r="K634" t="str">
        <f>IF(AND(data_tab[[#This Row],[Revenue]]="",data_tab[[#This Row],[Cost]]=""),"Remove",IF(OR(data_tab[[#This Row],[Revenue]]="",data_tab[[#This Row],[Cost]]=""),"Flag","Valid"))</f>
        <v>Valid</v>
      </c>
      <c r="L634" t="str">
        <f>IF((COUNTIFS(data_tab[Revenue],data_tab[[#This Row],[Revenue]],data_tab[Cost],data_tab[[#This Row],[Cost]]))&gt;1,"Duplicate","Unique")</f>
        <v>Unique</v>
      </c>
      <c r="M634">
        <f>data_tab[[#This Row],[Revenue]]-data_tab[[#This Row],[Cost]]</f>
        <v>60454.962645730993</v>
      </c>
      <c r="N634" t="str">
        <f>IF(data_tab[[#This Row],[Revenue]]&lt;0,"Return","Sale")</f>
        <v>Sale</v>
      </c>
    </row>
    <row r="635" spans="1:14" hidden="1">
      <c r="A635" s="1">
        <v>46036</v>
      </c>
      <c r="B635">
        <f>MONTH(data_tab[[#This Row],[Order Date]])</f>
        <v>1</v>
      </c>
      <c r="C635">
        <f>YEAR(data_tab[[#This Row],[Order Date]])</f>
        <v>2026</v>
      </c>
      <c r="D635" t="s">
        <v>29</v>
      </c>
      <c r="E635" t="s">
        <v>15</v>
      </c>
      <c r="F635" t="s">
        <v>21</v>
      </c>
      <c r="G635" t="s">
        <v>39</v>
      </c>
      <c r="H635">
        <v>7</v>
      </c>
      <c r="I635">
        <v>105784</v>
      </c>
      <c r="J635">
        <v>79477.477187496494</v>
      </c>
      <c r="K635" t="str">
        <f>IF(AND(data_tab[[#This Row],[Revenue]]="",data_tab[[#This Row],[Cost]]=""),"Remove",IF(OR(data_tab[[#This Row],[Revenue]]="",data_tab[[#This Row],[Cost]]=""),"Flag","Valid"))</f>
        <v>Valid</v>
      </c>
      <c r="L635" t="str">
        <f>IF((COUNTIFS(data_tab[Revenue],data_tab[[#This Row],[Revenue]],data_tab[Cost],data_tab[[#This Row],[Cost]]))&gt;1,"Duplicate","Unique")</f>
        <v>Unique</v>
      </c>
      <c r="M635">
        <f>data_tab[[#This Row],[Revenue]]-data_tab[[#This Row],[Cost]]</f>
        <v>26306.522812503506</v>
      </c>
      <c r="N635" t="str">
        <f>IF(data_tab[[#This Row],[Revenue]]&lt;0,"Return","Sale")</f>
        <v>Sale</v>
      </c>
    </row>
    <row r="636" spans="1:14">
      <c r="A636" s="1">
        <v>46155</v>
      </c>
      <c r="B636">
        <f>MONTH(data_tab[[#This Row],[Order Date]])</f>
        <v>5</v>
      </c>
      <c r="C636">
        <f>YEAR(data_tab[[#This Row],[Order Date]])</f>
        <v>2026</v>
      </c>
      <c r="D636" t="s">
        <v>14</v>
      </c>
      <c r="E636" t="s">
        <v>15</v>
      </c>
      <c r="F636" t="s">
        <v>21</v>
      </c>
      <c r="G636" t="s">
        <v>26</v>
      </c>
      <c r="H636">
        <v>7</v>
      </c>
      <c r="I636">
        <v>160524</v>
      </c>
      <c r="J636">
        <v>109251.985828224</v>
      </c>
      <c r="K636" t="str">
        <f>IF(AND(data_tab[[#This Row],[Revenue]]="",data_tab[[#This Row],[Cost]]=""),"Remove",IF(OR(data_tab[[#This Row],[Revenue]]="",data_tab[[#This Row],[Cost]]=""),"Flag","Valid"))</f>
        <v>Valid</v>
      </c>
      <c r="L636" t="str">
        <f>IF((COUNTIFS(data_tab[Revenue],data_tab[[#This Row],[Revenue]],data_tab[Cost],data_tab[[#This Row],[Cost]]))&gt;1,"Duplicate","Unique")</f>
        <v>Unique</v>
      </c>
      <c r="M636">
        <f>data_tab[[#This Row],[Revenue]]-data_tab[[#This Row],[Cost]]</f>
        <v>51272.014171775998</v>
      </c>
      <c r="N636" t="str">
        <f>IF(data_tab[[#This Row],[Revenue]]&lt;0,"Return","Sale")</f>
        <v>Sale</v>
      </c>
    </row>
    <row r="637" spans="1:14" hidden="1">
      <c r="A637" s="1">
        <v>46174</v>
      </c>
      <c r="B637">
        <f>MONTH(data_tab[[#This Row],[Order Date]])</f>
        <v>6</v>
      </c>
      <c r="C637">
        <f>YEAR(data_tab[[#This Row],[Order Date]])</f>
        <v>2026</v>
      </c>
      <c r="D637" t="s">
        <v>31</v>
      </c>
      <c r="E637" t="s">
        <v>32</v>
      </c>
      <c r="F637" t="s">
        <v>24</v>
      </c>
      <c r="G637" t="s">
        <v>33</v>
      </c>
      <c r="H637">
        <v>6</v>
      </c>
      <c r="I637">
        <v>83520</v>
      </c>
      <c r="J637">
        <v>54905.853579271097</v>
      </c>
      <c r="K637" t="str">
        <f>IF(AND(data_tab[[#This Row],[Revenue]]="",data_tab[[#This Row],[Cost]]=""),"Remove",IF(OR(data_tab[[#This Row],[Revenue]]="",data_tab[[#This Row],[Cost]]=""),"Flag","Valid"))</f>
        <v>Valid</v>
      </c>
      <c r="L637" t="str">
        <f>IF((COUNTIFS(data_tab[Revenue],data_tab[[#This Row],[Revenue]],data_tab[Cost],data_tab[[#This Row],[Cost]]))&gt;1,"Duplicate","Unique")</f>
        <v>Unique</v>
      </c>
      <c r="M637">
        <f>data_tab[[#This Row],[Revenue]]-data_tab[[#This Row],[Cost]]</f>
        <v>28614.146420728903</v>
      </c>
      <c r="N637" t="str">
        <f>IF(data_tab[[#This Row],[Revenue]]&lt;0,"Return","Sale")</f>
        <v>Sale</v>
      </c>
    </row>
    <row r="638" spans="1:14" hidden="1">
      <c r="A638" s="1">
        <v>46028</v>
      </c>
      <c r="B638">
        <f>MONTH(data_tab[[#This Row],[Order Date]])</f>
        <v>1</v>
      </c>
      <c r="C638">
        <f>YEAR(data_tab[[#This Row],[Order Date]])</f>
        <v>2026</v>
      </c>
      <c r="D638" t="s">
        <v>14</v>
      </c>
      <c r="E638" t="s">
        <v>15</v>
      </c>
      <c r="F638" t="s">
        <v>21</v>
      </c>
      <c r="G638" t="s">
        <v>39</v>
      </c>
      <c r="H638">
        <v>8</v>
      </c>
      <c r="I638">
        <v>119944</v>
      </c>
      <c r="K638" t="str">
        <f>IF(AND(data_tab[[#This Row],[Revenue]]="",data_tab[[#This Row],[Cost]]=""),"Remove",IF(OR(data_tab[[#This Row],[Revenue]]="",data_tab[[#This Row],[Cost]]=""),"Flag","Valid"))</f>
        <v>Flag</v>
      </c>
      <c r="L638" t="str">
        <f>IF((COUNTIFS(data_tab[Revenue],data_tab[[#This Row],[Revenue]],data_tab[Cost],data_tab[[#This Row],[Cost]]))&gt;1,"Duplicate","Unique")</f>
        <v>Unique</v>
      </c>
      <c r="M638">
        <f>data_tab[[#This Row],[Revenue]]-data_tab[[#This Row],[Cost]]</f>
        <v>119944</v>
      </c>
      <c r="N638" t="str">
        <f>IF(data_tab[[#This Row],[Revenue]]&lt;0,"Return","Sale")</f>
        <v>Sale</v>
      </c>
    </row>
    <row r="639" spans="1:14" hidden="1">
      <c r="A639" s="1">
        <v>46176</v>
      </c>
      <c r="B639">
        <f>MONTH(data_tab[[#This Row],[Order Date]])</f>
        <v>6</v>
      </c>
      <c r="C639">
        <f>YEAR(data_tab[[#This Row],[Order Date]])</f>
        <v>2026</v>
      </c>
      <c r="D639" t="s">
        <v>35</v>
      </c>
      <c r="E639" t="s">
        <v>32</v>
      </c>
      <c r="F639" t="s">
        <v>21</v>
      </c>
      <c r="G639" t="s">
        <v>26</v>
      </c>
      <c r="H639">
        <v>2</v>
      </c>
      <c r="I639">
        <v>5850</v>
      </c>
      <c r="J639">
        <v>4606.4852117781302</v>
      </c>
      <c r="K639" t="str">
        <f>IF(AND(data_tab[[#This Row],[Revenue]]="",data_tab[[#This Row],[Cost]]=""),"Remove",IF(OR(data_tab[[#This Row],[Revenue]]="",data_tab[[#This Row],[Cost]]=""),"Flag","Valid"))</f>
        <v>Valid</v>
      </c>
      <c r="L639" t="str">
        <f>IF((COUNTIFS(data_tab[Revenue],data_tab[[#This Row],[Revenue]],data_tab[Cost],data_tab[[#This Row],[Cost]]))&gt;1,"Duplicate","Unique")</f>
        <v>Unique</v>
      </c>
      <c r="M639">
        <f>data_tab[[#This Row],[Revenue]]-data_tab[[#This Row],[Cost]]</f>
        <v>1243.5147882218698</v>
      </c>
      <c r="N639" t="str">
        <f>IF(data_tab[[#This Row],[Revenue]]&lt;0,"Return","Sale")</f>
        <v>Sale</v>
      </c>
    </row>
    <row r="640" spans="1:14" hidden="1">
      <c r="A640" s="1">
        <v>46195</v>
      </c>
      <c r="B640">
        <f>MONTH(data_tab[[#This Row],[Order Date]])</f>
        <v>6</v>
      </c>
      <c r="C640">
        <f>YEAR(data_tab[[#This Row],[Order Date]])</f>
        <v>2026</v>
      </c>
      <c r="D640" t="s">
        <v>31</v>
      </c>
      <c r="E640" t="s">
        <v>32</v>
      </c>
      <c r="F640" t="s">
        <v>21</v>
      </c>
      <c r="G640" t="s">
        <v>37</v>
      </c>
      <c r="H640">
        <v>5</v>
      </c>
      <c r="I640">
        <v>171925</v>
      </c>
      <c r="J640">
        <v>112237.695635734</v>
      </c>
      <c r="K640" t="str">
        <f>IF(AND(data_tab[[#This Row],[Revenue]]="",data_tab[[#This Row],[Cost]]=""),"Remove",IF(OR(data_tab[[#This Row],[Revenue]]="",data_tab[[#This Row],[Cost]]=""),"Flag","Valid"))</f>
        <v>Valid</v>
      </c>
      <c r="L640" t="str">
        <f>IF((COUNTIFS(data_tab[Revenue],data_tab[[#This Row],[Revenue]],data_tab[Cost],data_tab[[#This Row],[Cost]]))&gt;1,"Duplicate","Unique")</f>
        <v>Unique</v>
      </c>
      <c r="M640">
        <f>data_tab[[#This Row],[Revenue]]-data_tab[[#This Row],[Cost]]</f>
        <v>59687.304364266005</v>
      </c>
      <c r="N640" t="str">
        <f>IF(data_tab[[#This Row],[Revenue]]&lt;0,"Return","Sale")</f>
        <v>Sale</v>
      </c>
    </row>
    <row r="641" spans="1:14" hidden="1">
      <c r="A641" s="1">
        <v>46095</v>
      </c>
      <c r="B641">
        <f>MONTH(data_tab[[#This Row],[Order Date]])</f>
        <v>3</v>
      </c>
      <c r="C641">
        <f>YEAR(data_tab[[#This Row],[Order Date]])</f>
        <v>2026</v>
      </c>
      <c r="D641" t="s">
        <v>31</v>
      </c>
      <c r="E641" t="s">
        <v>32</v>
      </c>
      <c r="F641" t="s">
        <v>36</v>
      </c>
      <c r="G641" t="s">
        <v>17</v>
      </c>
      <c r="H641">
        <v>1</v>
      </c>
      <c r="I641">
        <v>21018</v>
      </c>
      <c r="J641">
        <v>18715.504691167102</v>
      </c>
      <c r="K641" t="str">
        <f>IF(AND(data_tab[[#This Row],[Revenue]]="",data_tab[[#This Row],[Cost]]=""),"Remove",IF(OR(data_tab[[#This Row],[Revenue]]="",data_tab[[#This Row],[Cost]]=""),"Flag","Valid"))</f>
        <v>Valid</v>
      </c>
      <c r="L641" t="str">
        <f>IF((COUNTIFS(data_tab[Revenue],data_tab[[#This Row],[Revenue]],data_tab[Cost],data_tab[[#This Row],[Cost]]))&gt;1,"Duplicate","Unique")</f>
        <v>Unique</v>
      </c>
      <c r="M641">
        <f>data_tab[[#This Row],[Revenue]]-data_tab[[#This Row],[Cost]]</f>
        <v>2302.4953088328984</v>
      </c>
      <c r="N641" t="str">
        <f>IF(data_tab[[#This Row],[Revenue]]&lt;0,"Return","Sale")</f>
        <v>Sale</v>
      </c>
    </row>
    <row r="642" spans="1:14">
      <c r="A642" s="1">
        <v>46172</v>
      </c>
      <c r="B642">
        <f>MONTH(data_tab[[#This Row],[Order Date]])</f>
        <v>5</v>
      </c>
      <c r="C642">
        <f>YEAR(data_tab[[#This Row],[Order Date]])</f>
        <v>2026</v>
      </c>
      <c r="D642" t="s">
        <v>20</v>
      </c>
      <c r="E642" t="s">
        <v>15</v>
      </c>
      <c r="F642" t="s">
        <v>36</v>
      </c>
      <c r="G642" t="s">
        <v>17</v>
      </c>
      <c r="H642">
        <v>6</v>
      </c>
      <c r="I642">
        <v>284502</v>
      </c>
      <c r="J642">
        <v>187493.04468187899</v>
      </c>
      <c r="K642" t="str">
        <f>IF(AND(data_tab[[#This Row],[Revenue]]="",data_tab[[#This Row],[Cost]]=""),"Remove",IF(OR(data_tab[[#This Row],[Revenue]]="",data_tab[[#This Row],[Cost]]=""),"Flag","Valid"))</f>
        <v>Valid</v>
      </c>
      <c r="L642" t="str">
        <f>IF((COUNTIFS(data_tab[Revenue],data_tab[[#This Row],[Revenue]],data_tab[Cost],data_tab[[#This Row],[Cost]]))&gt;1,"Duplicate","Unique")</f>
        <v>Unique</v>
      </c>
      <c r="M642">
        <f>data_tab[[#This Row],[Revenue]]-data_tab[[#This Row],[Cost]]</f>
        <v>97008.955318121007</v>
      </c>
      <c r="N642" t="str">
        <f>IF(data_tab[[#This Row],[Revenue]]&lt;0,"Return","Sale")</f>
        <v>Sale</v>
      </c>
    </row>
    <row r="643" spans="1:14" hidden="1">
      <c r="A643" s="1">
        <v>46175</v>
      </c>
      <c r="B643">
        <f>MONTH(data_tab[[#This Row],[Order Date]])</f>
        <v>6</v>
      </c>
      <c r="C643">
        <f>YEAR(data_tab[[#This Row],[Order Date]])</f>
        <v>2026</v>
      </c>
      <c r="D643" t="s">
        <v>20</v>
      </c>
      <c r="E643" t="s">
        <v>15</v>
      </c>
      <c r="F643" t="s">
        <v>24</v>
      </c>
      <c r="G643" t="s">
        <v>37</v>
      </c>
      <c r="H643">
        <v>4</v>
      </c>
      <c r="I643">
        <v>131452</v>
      </c>
      <c r="J643">
        <v>113481.277915828</v>
      </c>
      <c r="K643" t="str">
        <f>IF(AND(data_tab[[#This Row],[Revenue]]="",data_tab[[#This Row],[Cost]]=""),"Remove",IF(OR(data_tab[[#This Row],[Revenue]]="",data_tab[[#This Row],[Cost]]=""),"Flag","Valid"))</f>
        <v>Valid</v>
      </c>
      <c r="L643" t="str">
        <f>IF((COUNTIFS(data_tab[Revenue],data_tab[[#This Row],[Revenue]],data_tab[Cost],data_tab[[#This Row],[Cost]]))&gt;1,"Duplicate","Unique")</f>
        <v>Unique</v>
      </c>
      <c r="M643">
        <f>data_tab[[#This Row],[Revenue]]-data_tab[[#This Row],[Cost]]</f>
        <v>17970.722084171997</v>
      </c>
      <c r="N643" t="str">
        <f>IF(data_tab[[#This Row],[Revenue]]&lt;0,"Return","Sale")</f>
        <v>Sale</v>
      </c>
    </row>
    <row r="644" spans="1:14" hidden="1">
      <c r="A644" s="1">
        <v>46176</v>
      </c>
      <c r="B644">
        <f>MONTH(data_tab[[#This Row],[Order Date]])</f>
        <v>6</v>
      </c>
      <c r="C644">
        <f>YEAR(data_tab[[#This Row],[Order Date]])</f>
        <v>2026</v>
      </c>
      <c r="D644" t="s">
        <v>20</v>
      </c>
      <c r="E644" t="s">
        <v>15</v>
      </c>
      <c r="F644" t="s">
        <v>16</v>
      </c>
      <c r="G644" t="s">
        <v>26</v>
      </c>
      <c r="H644">
        <v>10</v>
      </c>
      <c r="I644">
        <v>269650</v>
      </c>
      <c r="J644">
        <v>167453.44337951901</v>
      </c>
      <c r="K644" t="str">
        <f>IF(AND(data_tab[[#This Row],[Revenue]]="",data_tab[[#This Row],[Cost]]=""),"Remove",IF(OR(data_tab[[#This Row],[Revenue]]="",data_tab[[#This Row],[Cost]]=""),"Flag","Valid"))</f>
        <v>Valid</v>
      </c>
      <c r="L644" t="str">
        <f>IF((COUNTIFS(data_tab[Revenue],data_tab[[#This Row],[Revenue]],data_tab[Cost],data_tab[[#This Row],[Cost]]))&gt;1,"Duplicate","Unique")</f>
        <v>Unique</v>
      </c>
      <c r="M644">
        <f>data_tab[[#This Row],[Revenue]]-data_tab[[#This Row],[Cost]]</f>
        <v>102196.55662048099</v>
      </c>
      <c r="N644" t="str">
        <f>IF(data_tab[[#This Row],[Revenue]]&lt;0,"Return","Sale")</f>
        <v>Sale</v>
      </c>
    </row>
    <row r="645" spans="1:14">
      <c r="A645" s="1">
        <v>46166</v>
      </c>
      <c r="B645">
        <f>MONTH(data_tab[[#This Row],[Order Date]])</f>
        <v>5</v>
      </c>
      <c r="C645">
        <f>YEAR(data_tab[[#This Row],[Order Date]])</f>
        <v>2026</v>
      </c>
      <c r="D645" t="s">
        <v>31</v>
      </c>
      <c r="E645" t="s">
        <v>32</v>
      </c>
      <c r="F645" t="s">
        <v>16</v>
      </c>
      <c r="G645" t="s">
        <v>17</v>
      </c>
      <c r="H645">
        <v>9</v>
      </c>
      <c r="I645">
        <v>308682</v>
      </c>
      <c r="J645">
        <v>269211.07233999198</v>
      </c>
      <c r="K645" t="str">
        <f>IF(AND(data_tab[[#This Row],[Revenue]]="",data_tab[[#This Row],[Cost]]=""),"Remove",IF(OR(data_tab[[#This Row],[Revenue]]="",data_tab[[#This Row],[Cost]]=""),"Flag","Valid"))</f>
        <v>Valid</v>
      </c>
      <c r="L645" t="str">
        <f>IF((COUNTIFS(data_tab[Revenue],data_tab[[#This Row],[Revenue]],data_tab[Cost],data_tab[[#This Row],[Cost]]))&gt;1,"Duplicate","Unique")</f>
        <v>Unique</v>
      </c>
      <c r="M645">
        <f>data_tab[[#This Row],[Revenue]]-data_tab[[#This Row],[Cost]]</f>
        <v>39470.927660008019</v>
      </c>
      <c r="N645" t="str">
        <f>IF(data_tab[[#This Row],[Revenue]]&lt;0,"Return","Sale")</f>
        <v>Sale</v>
      </c>
    </row>
    <row r="646" spans="1:14">
      <c r="A646" s="1">
        <v>46158</v>
      </c>
      <c r="B646">
        <f>MONTH(data_tab[[#This Row],[Order Date]])</f>
        <v>5</v>
      </c>
      <c r="C646">
        <f>YEAR(data_tab[[#This Row],[Order Date]])</f>
        <v>2026</v>
      </c>
      <c r="D646" t="s">
        <v>35</v>
      </c>
      <c r="E646" t="s">
        <v>32</v>
      </c>
      <c r="F646" t="s">
        <v>24</v>
      </c>
      <c r="G646" t="s">
        <v>17</v>
      </c>
      <c r="H646">
        <v>8</v>
      </c>
      <c r="I646">
        <v>163320</v>
      </c>
      <c r="J646">
        <v>130513.80496636601</v>
      </c>
      <c r="K646" t="str">
        <f>IF(AND(data_tab[[#This Row],[Revenue]]="",data_tab[[#This Row],[Cost]]=""),"Remove",IF(OR(data_tab[[#This Row],[Revenue]]="",data_tab[[#This Row],[Cost]]=""),"Flag","Valid"))</f>
        <v>Valid</v>
      </c>
      <c r="L646" t="str">
        <f>IF((COUNTIFS(data_tab[Revenue],data_tab[[#This Row],[Revenue]],data_tab[Cost],data_tab[[#This Row],[Cost]]))&gt;1,"Duplicate","Unique")</f>
        <v>Unique</v>
      </c>
      <c r="M646">
        <f>data_tab[[#This Row],[Revenue]]-data_tab[[#This Row],[Cost]]</f>
        <v>32806.195033633994</v>
      </c>
      <c r="N646" t="str">
        <f>IF(data_tab[[#This Row],[Revenue]]&lt;0,"Return","Sale")</f>
        <v>Sale</v>
      </c>
    </row>
    <row r="647" spans="1:14" hidden="1">
      <c r="A647" s="1">
        <v>46179</v>
      </c>
      <c r="B647">
        <f>MONTH(data_tab[[#This Row],[Order Date]])</f>
        <v>6</v>
      </c>
      <c r="C647">
        <f>YEAR(data_tab[[#This Row],[Order Date]])</f>
        <v>2026</v>
      </c>
      <c r="D647" t="s">
        <v>40</v>
      </c>
      <c r="E647" t="s">
        <v>15</v>
      </c>
      <c r="F647" t="s">
        <v>16</v>
      </c>
      <c r="G647" t="s">
        <v>33</v>
      </c>
      <c r="H647">
        <v>3</v>
      </c>
      <c r="I647">
        <v>68037</v>
      </c>
      <c r="J647">
        <v>54072.248945847801</v>
      </c>
      <c r="K647" t="str">
        <f>IF(AND(data_tab[[#This Row],[Revenue]]="",data_tab[[#This Row],[Cost]]=""),"Remove",IF(OR(data_tab[[#This Row],[Revenue]]="",data_tab[[#This Row],[Cost]]=""),"Flag","Valid"))</f>
        <v>Valid</v>
      </c>
      <c r="L647" t="str">
        <f>IF((COUNTIFS(data_tab[Revenue],data_tab[[#This Row],[Revenue]],data_tab[Cost],data_tab[[#This Row],[Cost]]))&gt;1,"Duplicate","Unique")</f>
        <v>Unique</v>
      </c>
      <c r="M647">
        <f>data_tab[[#This Row],[Revenue]]-data_tab[[#This Row],[Cost]]</f>
        <v>13964.751054152199</v>
      </c>
      <c r="N647" t="str">
        <f>IF(data_tab[[#This Row],[Revenue]]&lt;0,"Return","Sale")</f>
        <v>Sale</v>
      </c>
    </row>
    <row r="648" spans="1:14" hidden="1">
      <c r="A648" s="1">
        <v>46191</v>
      </c>
      <c r="B648">
        <f>MONTH(data_tab[[#This Row],[Order Date]])</f>
        <v>6</v>
      </c>
      <c r="C648">
        <f>YEAR(data_tab[[#This Row],[Order Date]])</f>
        <v>2026</v>
      </c>
      <c r="D648" t="s">
        <v>31</v>
      </c>
      <c r="E648" t="s">
        <v>32</v>
      </c>
      <c r="F648" t="s">
        <v>21</v>
      </c>
      <c r="G648" t="s">
        <v>39</v>
      </c>
      <c r="H648">
        <v>4</v>
      </c>
      <c r="I648">
        <v>56008</v>
      </c>
      <c r="J648">
        <v>28807.4291181851</v>
      </c>
      <c r="K648" t="str">
        <f>IF(AND(data_tab[[#This Row],[Revenue]]="",data_tab[[#This Row],[Cost]]=""),"Remove",IF(OR(data_tab[[#This Row],[Revenue]]="",data_tab[[#This Row],[Cost]]=""),"Flag","Valid"))</f>
        <v>Valid</v>
      </c>
      <c r="L648" t="str">
        <f>IF((COUNTIFS(data_tab[Revenue],data_tab[[#This Row],[Revenue]],data_tab[Cost],data_tab[[#This Row],[Cost]]))&gt;1,"Duplicate","Unique")</f>
        <v>Unique</v>
      </c>
      <c r="M648">
        <f>data_tab[[#This Row],[Revenue]]-data_tab[[#This Row],[Cost]]</f>
        <v>27200.5708818149</v>
      </c>
      <c r="N648" t="str">
        <f>IF(data_tab[[#This Row],[Revenue]]&lt;0,"Return","Sale")</f>
        <v>Sale</v>
      </c>
    </row>
    <row r="649" spans="1:14" hidden="1">
      <c r="A649" s="1">
        <v>46208</v>
      </c>
      <c r="B649">
        <f>MONTH(data_tab[[#This Row],[Order Date]])</f>
        <v>7</v>
      </c>
      <c r="C649">
        <f>YEAR(data_tab[[#This Row],[Order Date]])</f>
        <v>2026</v>
      </c>
      <c r="D649" t="s">
        <v>35</v>
      </c>
      <c r="E649" t="s">
        <v>32</v>
      </c>
      <c r="F649" t="s">
        <v>36</v>
      </c>
      <c r="G649" t="s">
        <v>33</v>
      </c>
      <c r="H649">
        <v>8</v>
      </c>
      <c r="I649">
        <v>74976</v>
      </c>
      <c r="J649">
        <v>62855.030480328198</v>
      </c>
      <c r="K649" t="str">
        <f>IF(AND(data_tab[[#This Row],[Revenue]]="",data_tab[[#This Row],[Cost]]=""),"Remove",IF(OR(data_tab[[#This Row],[Revenue]]="",data_tab[[#This Row],[Cost]]=""),"Flag","Valid"))</f>
        <v>Valid</v>
      </c>
      <c r="L649" t="str">
        <f>IF((COUNTIFS(data_tab[Revenue],data_tab[[#This Row],[Revenue]],data_tab[Cost],data_tab[[#This Row],[Cost]]))&gt;1,"Duplicate","Unique")</f>
        <v>Unique</v>
      </c>
      <c r="M649">
        <f>data_tab[[#This Row],[Revenue]]-data_tab[[#This Row],[Cost]]</f>
        <v>12120.969519671802</v>
      </c>
      <c r="N649" t="str">
        <f>IF(data_tab[[#This Row],[Revenue]]&lt;0,"Return","Sale")</f>
        <v>Sale</v>
      </c>
    </row>
    <row r="650" spans="1:14" hidden="1">
      <c r="A650" s="1">
        <v>46095</v>
      </c>
      <c r="B650">
        <f>MONTH(data_tab[[#This Row],[Order Date]])</f>
        <v>3</v>
      </c>
      <c r="C650">
        <f>YEAR(data_tab[[#This Row],[Order Date]])</f>
        <v>2026</v>
      </c>
      <c r="D650" t="s">
        <v>31</v>
      </c>
      <c r="E650" t="s">
        <v>32</v>
      </c>
      <c r="F650" t="s">
        <v>16</v>
      </c>
      <c r="G650" t="s">
        <v>26</v>
      </c>
      <c r="H650">
        <v>10</v>
      </c>
      <c r="I650">
        <v>159190</v>
      </c>
      <c r="J650">
        <v>116752.963668204</v>
      </c>
      <c r="K650" t="str">
        <f>IF(AND(data_tab[[#This Row],[Revenue]]="",data_tab[[#This Row],[Cost]]=""),"Remove",IF(OR(data_tab[[#This Row],[Revenue]]="",data_tab[[#This Row],[Cost]]=""),"Flag","Valid"))</f>
        <v>Valid</v>
      </c>
      <c r="L650" t="str">
        <f>IF((COUNTIFS(data_tab[Revenue],data_tab[[#This Row],[Revenue]],data_tab[Cost],data_tab[[#This Row],[Cost]]))&gt;1,"Duplicate","Unique")</f>
        <v>Unique</v>
      </c>
      <c r="M650">
        <f>data_tab[[#This Row],[Revenue]]-data_tab[[#This Row],[Cost]]</f>
        <v>42437.036331796</v>
      </c>
      <c r="N650" t="str">
        <f>IF(data_tab[[#This Row],[Revenue]]&lt;0,"Return","Sale")</f>
        <v>Sale</v>
      </c>
    </row>
    <row r="651" spans="1:14" hidden="1">
      <c r="A651" s="1">
        <v>46129</v>
      </c>
      <c r="B651">
        <f>MONTH(data_tab[[#This Row],[Order Date]])</f>
        <v>4</v>
      </c>
      <c r="C651">
        <f>YEAR(data_tab[[#This Row],[Order Date]])</f>
        <v>2026</v>
      </c>
      <c r="D651" t="s">
        <v>29</v>
      </c>
      <c r="E651" t="s">
        <v>15</v>
      </c>
      <c r="F651" t="s">
        <v>24</v>
      </c>
      <c r="G651" t="s">
        <v>37</v>
      </c>
      <c r="H651">
        <v>1</v>
      </c>
      <c r="I651">
        <v>20630</v>
      </c>
      <c r="J651">
        <v>15937.1894695309</v>
      </c>
      <c r="K651" t="str">
        <f>IF(AND(data_tab[[#This Row],[Revenue]]="",data_tab[[#This Row],[Cost]]=""),"Remove",IF(OR(data_tab[[#This Row],[Revenue]]="",data_tab[[#This Row],[Cost]]=""),"Flag","Valid"))</f>
        <v>Valid</v>
      </c>
      <c r="L651" t="str">
        <f>IF((COUNTIFS(data_tab[Revenue],data_tab[[#This Row],[Revenue]],data_tab[Cost],data_tab[[#This Row],[Cost]]))&gt;1,"Duplicate","Unique")</f>
        <v>Unique</v>
      </c>
      <c r="M651">
        <f>data_tab[[#This Row],[Revenue]]-data_tab[[#This Row],[Cost]]</f>
        <v>4692.8105304690998</v>
      </c>
      <c r="N651" t="str">
        <f>IF(data_tab[[#This Row],[Revenue]]&lt;0,"Return","Sale")</f>
        <v>Sale</v>
      </c>
    </row>
    <row r="652" spans="1:14" hidden="1">
      <c r="A652" s="1">
        <v>46050</v>
      </c>
      <c r="B652">
        <f>MONTH(data_tab[[#This Row],[Order Date]])</f>
        <v>1</v>
      </c>
      <c r="C652">
        <f>YEAR(data_tab[[#This Row],[Order Date]])</f>
        <v>2026</v>
      </c>
      <c r="D652" t="s">
        <v>20</v>
      </c>
      <c r="E652" t="s">
        <v>15</v>
      </c>
      <c r="F652" t="s">
        <v>36</v>
      </c>
      <c r="G652" t="s">
        <v>41</v>
      </c>
      <c r="H652">
        <v>8</v>
      </c>
      <c r="I652">
        <v>254048</v>
      </c>
      <c r="J652">
        <v>190877.10918715899</v>
      </c>
      <c r="K652" t="str">
        <f>IF(AND(data_tab[[#This Row],[Revenue]]="",data_tab[[#This Row],[Cost]]=""),"Remove",IF(OR(data_tab[[#This Row],[Revenue]]="",data_tab[[#This Row],[Cost]]=""),"Flag","Valid"))</f>
        <v>Valid</v>
      </c>
      <c r="L652" t="str">
        <f>IF((COUNTIFS(data_tab[Revenue],data_tab[[#This Row],[Revenue]],data_tab[Cost],data_tab[[#This Row],[Cost]]))&gt;1,"Duplicate","Unique")</f>
        <v>Unique</v>
      </c>
      <c r="M652">
        <f>data_tab[[#This Row],[Revenue]]-data_tab[[#This Row],[Cost]]</f>
        <v>63170.890812841011</v>
      </c>
      <c r="N652" t="str">
        <f>IF(data_tab[[#This Row],[Revenue]]&lt;0,"Return","Sale")</f>
        <v>Sale</v>
      </c>
    </row>
    <row r="653" spans="1:14" hidden="1">
      <c r="A653" s="1">
        <v>46034</v>
      </c>
      <c r="B653">
        <f>MONTH(data_tab[[#This Row],[Order Date]])</f>
        <v>1</v>
      </c>
      <c r="C653">
        <f>YEAR(data_tab[[#This Row],[Order Date]])</f>
        <v>2026</v>
      </c>
      <c r="D653" t="s">
        <v>35</v>
      </c>
      <c r="E653" t="s">
        <v>32</v>
      </c>
      <c r="F653" t="s">
        <v>21</v>
      </c>
      <c r="G653" t="s">
        <v>17</v>
      </c>
      <c r="H653">
        <v>1</v>
      </c>
      <c r="I653">
        <v>44181</v>
      </c>
      <c r="J653">
        <v>27090.976442700601</v>
      </c>
      <c r="K653" t="str">
        <f>IF(AND(data_tab[[#This Row],[Revenue]]="",data_tab[[#This Row],[Cost]]=""),"Remove",IF(OR(data_tab[[#This Row],[Revenue]]="",data_tab[[#This Row],[Cost]]=""),"Flag","Valid"))</f>
        <v>Valid</v>
      </c>
      <c r="L653" t="str">
        <f>IF((COUNTIFS(data_tab[Revenue],data_tab[[#This Row],[Revenue]],data_tab[Cost],data_tab[[#This Row],[Cost]]))&gt;1,"Duplicate","Unique")</f>
        <v>Unique</v>
      </c>
      <c r="M653">
        <f>data_tab[[#This Row],[Revenue]]-data_tab[[#This Row],[Cost]]</f>
        <v>17090.023557299399</v>
      </c>
      <c r="N653" t="str">
        <f>IF(data_tab[[#This Row],[Revenue]]&lt;0,"Return","Sale")</f>
        <v>Sale</v>
      </c>
    </row>
    <row r="654" spans="1:14" hidden="1">
      <c r="A654" s="1">
        <v>46177</v>
      </c>
      <c r="B654">
        <f>MONTH(data_tab[[#This Row],[Order Date]])</f>
        <v>6</v>
      </c>
      <c r="C654">
        <f>YEAR(data_tab[[#This Row],[Order Date]])</f>
        <v>2026</v>
      </c>
      <c r="D654" t="s">
        <v>31</v>
      </c>
      <c r="E654" t="s">
        <v>32</v>
      </c>
      <c r="F654" t="s">
        <v>21</v>
      </c>
      <c r="G654" t="s">
        <v>33</v>
      </c>
      <c r="H654">
        <v>2</v>
      </c>
      <c r="I654">
        <v>6688</v>
      </c>
      <c r="J654">
        <v>5624.1955730932696</v>
      </c>
      <c r="K654" t="str">
        <f>IF(AND(data_tab[[#This Row],[Revenue]]="",data_tab[[#This Row],[Cost]]=""),"Remove",IF(OR(data_tab[[#This Row],[Revenue]]="",data_tab[[#This Row],[Cost]]=""),"Flag","Valid"))</f>
        <v>Valid</v>
      </c>
      <c r="L654" t="str">
        <f>IF((COUNTIFS(data_tab[Revenue],data_tab[[#This Row],[Revenue]],data_tab[Cost],data_tab[[#This Row],[Cost]]))&gt;1,"Duplicate","Unique")</f>
        <v>Unique</v>
      </c>
      <c r="M654">
        <f>data_tab[[#This Row],[Revenue]]-data_tab[[#This Row],[Cost]]</f>
        <v>1063.8044269067304</v>
      </c>
      <c r="N654" t="str">
        <f>IF(data_tab[[#This Row],[Revenue]]&lt;0,"Return","Sale")</f>
        <v>Sale</v>
      </c>
    </row>
    <row r="655" spans="1:14" hidden="1">
      <c r="A655" s="1">
        <v>46190</v>
      </c>
      <c r="B655">
        <f>MONTH(data_tab[[#This Row],[Order Date]])</f>
        <v>6</v>
      </c>
      <c r="C655">
        <f>YEAR(data_tab[[#This Row],[Order Date]])</f>
        <v>2026</v>
      </c>
      <c r="D655" t="s">
        <v>35</v>
      </c>
      <c r="E655" t="s">
        <v>32</v>
      </c>
      <c r="F655" t="s">
        <v>36</v>
      </c>
      <c r="G655" t="s">
        <v>33</v>
      </c>
      <c r="H655">
        <v>5</v>
      </c>
      <c r="I655">
        <v>234445</v>
      </c>
      <c r="J655">
        <v>173818.79902513101</v>
      </c>
      <c r="K655" t="str">
        <f>IF(AND(data_tab[[#This Row],[Revenue]]="",data_tab[[#This Row],[Cost]]=""),"Remove",IF(OR(data_tab[[#This Row],[Revenue]]="",data_tab[[#This Row],[Cost]]=""),"Flag","Valid"))</f>
        <v>Valid</v>
      </c>
      <c r="L655" t="str">
        <f>IF((COUNTIFS(data_tab[Revenue],data_tab[[#This Row],[Revenue]],data_tab[Cost],data_tab[[#This Row],[Cost]]))&gt;1,"Duplicate","Unique")</f>
        <v>Unique</v>
      </c>
      <c r="M655">
        <f>data_tab[[#This Row],[Revenue]]-data_tab[[#This Row],[Cost]]</f>
        <v>60626.200974868989</v>
      </c>
      <c r="N655" t="str">
        <f>IF(data_tab[[#This Row],[Revenue]]&lt;0,"Return","Sale")</f>
        <v>Sale</v>
      </c>
    </row>
    <row r="656" spans="1:14" hidden="1">
      <c r="A656" s="1">
        <v>46074</v>
      </c>
      <c r="B656">
        <f>MONTH(data_tab[[#This Row],[Order Date]])</f>
        <v>2</v>
      </c>
      <c r="C656">
        <f>YEAR(data_tab[[#This Row],[Order Date]])</f>
        <v>2026</v>
      </c>
      <c r="D656" t="s">
        <v>29</v>
      </c>
      <c r="E656" t="s">
        <v>15</v>
      </c>
      <c r="F656" t="s">
        <v>16</v>
      </c>
      <c r="G656" t="s">
        <v>26</v>
      </c>
      <c r="H656">
        <v>10</v>
      </c>
      <c r="I656">
        <v>297260</v>
      </c>
      <c r="J656">
        <v>159357.79823766401</v>
      </c>
      <c r="K656" t="str">
        <f>IF(AND(data_tab[[#This Row],[Revenue]]="",data_tab[[#This Row],[Cost]]=""),"Remove",IF(OR(data_tab[[#This Row],[Revenue]]="",data_tab[[#This Row],[Cost]]=""),"Flag","Valid"))</f>
        <v>Valid</v>
      </c>
      <c r="L656" t="str">
        <f>IF((COUNTIFS(data_tab[Revenue],data_tab[[#This Row],[Revenue]],data_tab[Cost],data_tab[[#This Row],[Cost]]))&gt;1,"Duplicate","Unique")</f>
        <v>Unique</v>
      </c>
      <c r="M656">
        <f>data_tab[[#This Row],[Revenue]]-data_tab[[#This Row],[Cost]]</f>
        <v>137902.20176233599</v>
      </c>
      <c r="N656" t="str">
        <f>IF(data_tab[[#This Row],[Revenue]]&lt;0,"Return","Sale")</f>
        <v>Sale</v>
      </c>
    </row>
    <row r="657" spans="1:14" hidden="1">
      <c r="A657" s="1">
        <v>46184</v>
      </c>
      <c r="B657">
        <f>MONTH(data_tab[[#This Row],[Order Date]])</f>
        <v>6</v>
      </c>
      <c r="C657">
        <f>YEAR(data_tab[[#This Row],[Order Date]])</f>
        <v>2026</v>
      </c>
      <c r="D657" t="s">
        <v>35</v>
      </c>
      <c r="E657" t="s">
        <v>32</v>
      </c>
      <c r="F657" t="s">
        <v>36</v>
      </c>
      <c r="G657" t="s">
        <v>41</v>
      </c>
      <c r="H657">
        <v>4</v>
      </c>
      <c r="I657">
        <v>177764</v>
      </c>
      <c r="J657">
        <v>137677.260624202</v>
      </c>
      <c r="K657" t="str">
        <f>IF(AND(data_tab[[#This Row],[Revenue]]="",data_tab[[#This Row],[Cost]]=""),"Remove",IF(OR(data_tab[[#This Row],[Revenue]]="",data_tab[[#This Row],[Cost]]=""),"Flag","Valid"))</f>
        <v>Valid</v>
      </c>
      <c r="L657" t="str">
        <f>IF((COUNTIFS(data_tab[Revenue],data_tab[[#This Row],[Revenue]],data_tab[Cost],data_tab[[#This Row],[Cost]]))&gt;1,"Duplicate","Unique")</f>
        <v>Unique</v>
      </c>
      <c r="M657">
        <f>data_tab[[#This Row],[Revenue]]-data_tab[[#This Row],[Cost]]</f>
        <v>40086.739375798003</v>
      </c>
      <c r="N657" t="str">
        <f>IF(data_tab[[#This Row],[Revenue]]&lt;0,"Return","Sale")</f>
        <v>Sale</v>
      </c>
    </row>
    <row r="658" spans="1:14">
      <c r="A658" s="1">
        <v>46157</v>
      </c>
      <c r="B658">
        <f>MONTH(data_tab[[#This Row],[Order Date]])</f>
        <v>5</v>
      </c>
      <c r="C658">
        <f>YEAR(data_tab[[#This Row],[Order Date]])</f>
        <v>2026</v>
      </c>
      <c r="D658" t="s">
        <v>29</v>
      </c>
      <c r="E658" t="s">
        <v>15</v>
      </c>
      <c r="F658" t="s">
        <v>36</v>
      </c>
      <c r="G658" t="s">
        <v>39</v>
      </c>
      <c r="H658">
        <v>8</v>
      </c>
      <c r="I658">
        <v>173488</v>
      </c>
      <c r="J658">
        <v>97056.5804712549</v>
      </c>
      <c r="K658" t="str">
        <f>IF(AND(data_tab[[#This Row],[Revenue]]="",data_tab[[#This Row],[Cost]]=""),"Remove",IF(OR(data_tab[[#This Row],[Revenue]]="",data_tab[[#This Row],[Cost]]=""),"Flag","Valid"))</f>
        <v>Valid</v>
      </c>
      <c r="L658" t="str">
        <f>IF((COUNTIFS(data_tab[Revenue],data_tab[[#This Row],[Revenue]],data_tab[Cost],data_tab[[#This Row],[Cost]]))&gt;1,"Duplicate","Unique")</f>
        <v>Unique</v>
      </c>
      <c r="M658">
        <f>data_tab[[#This Row],[Revenue]]-data_tab[[#This Row],[Cost]]</f>
        <v>76431.4195287451</v>
      </c>
      <c r="N658" t="str">
        <f>IF(data_tab[[#This Row],[Revenue]]&lt;0,"Return","Sale")</f>
        <v>Sale</v>
      </c>
    </row>
    <row r="659" spans="1:14">
      <c r="A659" s="1">
        <v>46156</v>
      </c>
      <c r="B659">
        <f>MONTH(data_tab[[#This Row],[Order Date]])</f>
        <v>5</v>
      </c>
      <c r="C659">
        <f>YEAR(data_tab[[#This Row],[Order Date]])</f>
        <v>2026</v>
      </c>
      <c r="D659" t="s">
        <v>40</v>
      </c>
      <c r="E659" t="s">
        <v>15</v>
      </c>
      <c r="F659" t="s">
        <v>24</v>
      </c>
      <c r="G659" t="s">
        <v>39</v>
      </c>
      <c r="H659">
        <v>9</v>
      </c>
      <c r="I659">
        <v>81477</v>
      </c>
      <c r="J659">
        <v>57381.043648885701</v>
      </c>
      <c r="K659" t="str">
        <f>IF(AND(data_tab[[#This Row],[Revenue]]="",data_tab[[#This Row],[Cost]]=""),"Remove",IF(OR(data_tab[[#This Row],[Revenue]]="",data_tab[[#This Row],[Cost]]=""),"Flag","Valid"))</f>
        <v>Valid</v>
      </c>
      <c r="L659" t="str">
        <f>IF((COUNTIFS(data_tab[Revenue],data_tab[[#This Row],[Revenue]],data_tab[Cost],data_tab[[#This Row],[Cost]]))&gt;1,"Duplicate","Unique")</f>
        <v>Unique</v>
      </c>
      <c r="M659">
        <f>data_tab[[#This Row],[Revenue]]-data_tab[[#This Row],[Cost]]</f>
        <v>24095.956351114299</v>
      </c>
      <c r="N659" t="str">
        <f>IF(data_tab[[#This Row],[Revenue]]&lt;0,"Return","Sale")</f>
        <v>Sale</v>
      </c>
    </row>
    <row r="660" spans="1:14" hidden="1">
      <c r="A660" s="1">
        <v>46087</v>
      </c>
      <c r="B660">
        <f>MONTH(data_tab[[#This Row],[Order Date]])</f>
        <v>3</v>
      </c>
      <c r="C660">
        <f>YEAR(data_tab[[#This Row],[Order Date]])</f>
        <v>2026</v>
      </c>
      <c r="D660" t="s">
        <v>23</v>
      </c>
      <c r="E660" t="s">
        <v>15</v>
      </c>
      <c r="F660" t="s">
        <v>24</v>
      </c>
      <c r="G660" t="s">
        <v>39</v>
      </c>
      <c r="H660">
        <v>8</v>
      </c>
      <c r="I660">
        <v>110136</v>
      </c>
      <c r="K660" t="str">
        <f>IF(AND(data_tab[[#This Row],[Revenue]]="",data_tab[[#This Row],[Cost]]=""),"Remove",IF(OR(data_tab[[#This Row],[Revenue]]="",data_tab[[#This Row],[Cost]]=""),"Flag","Valid"))</f>
        <v>Flag</v>
      </c>
      <c r="L660" t="str">
        <f>IF((COUNTIFS(data_tab[Revenue],data_tab[[#This Row],[Revenue]],data_tab[Cost],data_tab[[#This Row],[Cost]]))&gt;1,"Duplicate","Unique")</f>
        <v>Unique</v>
      </c>
      <c r="M660">
        <f>data_tab[[#This Row],[Revenue]]-data_tab[[#This Row],[Cost]]</f>
        <v>110136</v>
      </c>
      <c r="N660" t="str">
        <f>IF(data_tab[[#This Row],[Revenue]]&lt;0,"Return","Sale")</f>
        <v>Sale</v>
      </c>
    </row>
    <row r="661" spans="1:14" hidden="1">
      <c r="A661" s="1">
        <v>46203</v>
      </c>
      <c r="B661">
        <f>MONTH(data_tab[[#This Row],[Order Date]])</f>
        <v>6</v>
      </c>
      <c r="C661">
        <f>YEAR(data_tab[[#This Row],[Order Date]])</f>
        <v>2026</v>
      </c>
      <c r="D661" t="s">
        <v>29</v>
      </c>
      <c r="E661" t="s">
        <v>15</v>
      </c>
      <c r="F661" t="s">
        <v>36</v>
      </c>
      <c r="G661" t="s">
        <v>26</v>
      </c>
      <c r="H661">
        <v>5</v>
      </c>
      <c r="I661">
        <v>121845</v>
      </c>
      <c r="J661">
        <v>108038.48116952799</v>
      </c>
      <c r="K661" t="str">
        <f>IF(AND(data_tab[[#This Row],[Revenue]]="",data_tab[[#This Row],[Cost]]=""),"Remove",IF(OR(data_tab[[#This Row],[Revenue]]="",data_tab[[#This Row],[Cost]]=""),"Flag","Valid"))</f>
        <v>Valid</v>
      </c>
      <c r="L661" t="str">
        <f>IF((COUNTIFS(data_tab[Revenue],data_tab[[#This Row],[Revenue]],data_tab[Cost],data_tab[[#This Row],[Cost]]))&gt;1,"Duplicate","Unique")</f>
        <v>Unique</v>
      </c>
      <c r="M661">
        <f>data_tab[[#This Row],[Revenue]]-data_tab[[#This Row],[Cost]]</f>
        <v>13806.518830472007</v>
      </c>
      <c r="N661" t="str">
        <f>IF(data_tab[[#This Row],[Revenue]]&lt;0,"Return","Sale")</f>
        <v>Sale</v>
      </c>
    </row>
    <row r="662" spans="1:14" hidden="1">
      <c r="A662" s="1">
        <v>46177</v>
      </c>
      <c r="B662">
        <f>MONTH(data_tab[[#This Row],[Order Date]])</f>
        <v>6</v>
      </c>
      <c r="C662">
        <f>YEAR(data_tab[[#This Row],[Order Date]])</f>
        <v>2026</v>
      </c>
      <c r="D662" t="s">
        <v>29</v>
      </c>
      <c r="E662" t="s">
        <v>15</v>
      </c>
      <c r="F662" t="s">
        <v>24</v>
      </c>
      <c r="G662" t="s">
        <v>39</v>
      </c>
      <c r="H662">
        <v>7</v>
      </c>
      <c r="I662">
        <v>67522</v>
      </c>
      <c r="J662">
        <v>34120.341278022199</v>
      </c>
      <c r="K662" t="str">
        <f>IF(AND(data_tab[[#This Row],[Revenue]]="",data_tab[[#This Row],[Cost]]=""),"Remove",IF(OR(data_tab[[#This Row],[Revenue]]="",data_tab[[#This Row],[Cost]]=""),"Flag","Valid"))</f>
        <v>Valid</v>
      </c>
      <c r="L662" t="str">
        <f>IF((COUNTIFS(data_tab[Revenue],data_tab[[#This Row],[Revenue]],data_tab[Cost],data_tab[[#This Row],[Cost]]))&gt;1,"Duplicate","Unique")</f>
        <v>Duplicate</v>
      </c>
      <c r="M662">
        <f>data_tab[[#This Row],[Revenue]]-data_tab[[#This Row],[Cost]]</f>
        <v>33401.658721977801</v>
      </c>
      <c r="N662" t="str">
        <f>IF(data_tab[[#This Row],[Revenue]]&lt;0,"Return","Sale")</f>
        <v>Sale</v>
      </c>
    </row>
    <row r="663" spans="1:14" hidden="1">
      <c r="A663" s="1">
        <v>46191</v>
      </c>
      <c r="B663">
        <f>MONTH(data_tab[[#This Row],[Order Date]])</f>
        <v>6</v>
      </c>
      <c r="C663">
        <f>YEAR(data_tab[[#This Row],[Order Date]])</f>
        <v>2026</v>
      </c>
      <c r="D663" t="s">
        <v>29</v>
      </c>
      <c r="E663" t="s">
        <v>15</v>
      </c>
      <c r="F663" t="s">
        <v>16</v>
      </c>
      <c r="G663" t="s">
        <v>26</v>
      </c>
      <c r="H663">
        <v>10</v>
      </c>
      <c r="I663">
        <v>256400</v>
      </c>
      <c r="J663">
        <v>199034.32468760901</v>
      </c>
      <c r="K663" t="str">
        <f>IF(AND(data_tab[[#This Row],[Revenue]]="",data_tab[[#This Row],[Cost]]=""),"Remove",IF(OR(data_tab[[#This Row],[Revenue]]="",data_tab[[#This Row],[Cost]]=""),"Flag","Valid"))</f>
        <v>Valid</v>
      </c>
      <c r="L663" t="str">
        <f>IF((COUNTIFS(data_tab[Revenue],data_tab[[#This Row],[Revenue]],data_tab[Cost],data_tab[[#This Row],[Cost]]))&gt;1,"Duplicate","Unique")</f>
        <v>Unique</v>
      </c>
      <c r="M663">
        <f>data_tab[[#This Row],[Revenue]]-data_tab[[#This Row],[Cost]]</f>
        <v>57365.675312390988</v>
      </c>
      <c r="N663" t="str">
        <f>IF(data_tab[[#This Row],[Revenue]]&lt;0,"Return","Sale")</f>
        <v>Sale</v>
      </c>
    </row>
    <row r="664" spans="1:14" hidden="1">
      <c r="A664" s="1">
        <v>46045</v>
      </c>
      <c r="B664">
        <f>MONTH(data_tab[[#This Row],[Order Date]])</f>
        <v>1</v>
      </c>
      <c r="C664">
        <f>YEAR(data_tab[[#This Row],[Order Date]])</f>
        <v>2026</v>
      </c>
      <c r="D664" t="s">
        <v>20</v>
      </c>
      <c r="E664" t="s">
        <v>15</v>
      </c>
      <c r="F664" t="s">
        <v>21</v>
      </c>
      <c r="G664" t="s">
        <v>39</v>
      </c>
      <c r="H664">
        <v>1</v>
      </c>
      <c r="I664">
        <v>47615</v>
      </c>
      <c r="J664">
        <v>42292.030846274298</v>
      </c>
      <c r="K664" t="str">
        <f>IF(AND(data_tab[[#This Row],[Revenue]]="",data_tab[[#This Row],[Cost]]=""),"Remove",IF(OR(data_tab[[#This Row],[Revenue]]="",data_tab[[#This Row],[Cost]]=""),"Flag","Valid"))</f>
        <v>Valid</v>
      </c>
      <c r="L664" t="str">
        <f>IF((COUNTIFS(data_tab[Revenue],data_tab[[#This Row],[Revenue]],data_tab[Cost],data_tab[[#This Row],[Cost]]))&gt;1,"Duplicate","Unique")</f>
        <v>Unique</v>
      </c>
      <c r="M664">
        <f>data_tab[[#This Row],[Revenue]]-data_tab[[#This Row],[Cost]]</f>
        <v>5322.9691537257022</v>
      </c>
      <c r="N664" t="str">
        <f>IF(data_tab[[#This Row],[Revenue]]&lt;0,"Return","Sale")</f>
        <v>Sale</v>
      </c>
    </row>
    <row r="665" spans="1:14" hidden="1">
      <c r="A665" s="1">
        <v>46189</v>
      </c>
      <c r="B665">
        <f>MONTH(data_tab[[#This Row],[Order Date]])</f>
        <v>6</v>
      </c>
      <c r="C665">
        <f>YEAR(data_tab[[#This Row],[Order Date]])</f>
        <v>2026</v>
      </c>
      <c r="D665" t="s">
        <v>23</v>
      </c>
      <c r="E665" t="s">
        <v>15</v>
      </c>
      <c r="F665" t="s">
        <v>21</v>
      </c>
      <c r="G665" t="s">
        <v>39</v>
      </c>
      <c r="H665">
        <v>5</v>
      </c>
      <c r="I665">
        <v>161855</v>
      </c>
      <c r="J665">
        <v>90520.0403016731</v>
      </c>
      <c r="K665" t="str">
        <f>IF(AND(data_tab[[#This Row],[Revenue]]="",data_tab[[#This Row],[Cost]]=""),"Remove",IF(OR(data_tab[[#This Row],[Revenue]]="",data_tab[[#This Row],[Cost]]=""),"Flag","Valid"))</f>
        <v>Valid</v>
      </c>
      <c r="L665" t="str">
        <f>IF((COUNTIFS(data_tab[Revenue],data_tab[[#This Row],[Revenue]],data_tab[Cost],data_tab[[#This Row],[Cost]]))&gt;1,"Duplicate","Unique")</f>
        <v>Unique</v>
      </c>
      <c r="M665">
        <f>data_tab[[#This Row],[Revenue]]-data_tab[[#This Row],[Cost]]</f>
        <v>71334.9596983269</v>
      </c>
      <c r="N665" t="str">
        <f>IF(data_tab[[#This Row],[Revenue]]&lt;0,"Return","Sale")</f>
        <v>Sale</v>
      </c>
    </row>
    <row r="666" spans="1:14" hidden="1">
      <c r="A666" s="1">
        <v>46202</v>
      </c>
      <c r="B666">
        <f>MONTH(data_tab[[#This Row],[Order Date]])</f>
        <v>6</v>
      </c>
      <c r="C666">
        <f>YEAR(data_tab[[#This Row],[Order Date]])</f>
        <v>2026</v>
      </c>
      <c r="D666" t="s">
        <v>20</v>
      </c>
      <c r="E666" t="s">
        <v>15</v>
      </c>
      <c r="F666" t="s">
        <v>36</v>
      </c>
      <c r="G666" t="s">
        <v>26</v>
      </c>
      <c r="H666">
        <v>4</v>
      </c>
      <c r="I666">
        <v>60776</v>
      </c>
      <c r="J666">
        <v>37555.469432901402</v>
      </c>
      <c r="K666" t="str">
        <f>IF(AND(data_tab[[#This Row],[Revenue]]="",data_tab[[#This Row],[Cost]]=""),"Remove",IF(OR(data_tab[[#This Row],[Revenue]]="",data_tab[[#This Row],[Cost]]=""),"Flag","Valid"))</f>
        <v>Valid</v>
      </c>
      <c r="L666" t="str">
        <f>IF((COUNTIFS(data_tab[Revenue],data_tab[[#This Row],[Revenue]],data_tab[Cost],data_tab[[#This Row],[Cost]]))&gt;1,"Duplicate","Unique")</f>
        <v>Unique</v>
      </c>
      <c r="M666">
        <f>data_tab[[#This Row],[Revenue]]-data_tab[[#This Row],[Cost]]</f>
        <v>23220.530567098598</v>
      </c>
      <c r="N666" t="str">
        <f>IF(data_tab[[#This Row],[Revenue]]&lt;0,"Return","Sale")</f>
        <v>Sale</v>
      </c>
    </row>
    <row r="667" spans="1:14" hidden="1">
      <c r="A667" s="1">
        <v>46049</v>
      </c>
      <c r="B667">
        <f>MONTH(data_tab[[#This Row],[Order Date]])</f>
        <v>1</v>
      </c>
      <c r="C667">
        <f>YEAR(data_tab[[#This Row],[Order Date]])</f>
        <v>2026</v>
      </c>
      <c r="D667" t="s">
        <v>29</v>
      </c>
      <c r="E667" t="s">
        <v>15</v>
      </c>
      <c r="F667" t="s">
        <v>36</v>
      </c>
      <c r="G667" t="s">
        <v>41</v>
      </c>
      <c r="H667">
        <v>10</v>
      </c>
      <c r="I667">
        <v>410480</v>
      </c>
      <c r="K667" t="str">
        <f>IF(AND(data_tab[[#This Row],[Revenue]]="",data_tab[[#This Row],[Cost]]=""),"Remove",IF(OR(data_tab[[#This Row],[Revenue]]="",data_tab[[#This Row],[Cost]]=""),"Flag","Valid"))</f>
        <v>Flag</v>
      </c>
      <c r="L667" t="str">
        <f>IF((COUNTIFS(data_tab[Revenue],data_tab[[#This Row],[Revenue]],data_tab[Cost],data_tab[[#This Row],[Cost]]))&gt;1,"Duplicate","Unique")</f>
        <v>Unique</v>
      </c>
      <c r="M667">
        <f>data_tab[[#This Row],[Revenue]]-data_tab[[#This Row],[Cost]]</f>
        <v>410480</v>
      </c>
      <c r="N667" t="str">
        <f>IF(data_tab[[#This Row],[Revenue]]&lt;0,"Return","Sale")</f>
        <v>Sale</v>
      </c>
    </row>
    <row r="668" spans="1:14">
      <c r="A668" s="1">
        <v>46154</v>
      </c>
      <c r="B668">
        <f>MONTH(data_tab[[#This Row],[Order Date]])</f>
        <v>5</v>
      </c>
      <c r="C668">
        <f>YEAR(data_tab[[#This Row],[Order Date]])</f>
        <v>2026</v>
      </c>
      <c r="D668" t="s">
        <v>14</v>
      </c>
      <c r="E668" t="s">
        <v>15</v>
      </c>
      <c r="F668" t="s">
        <v>36</v>
      </c>
      <c r="G668" t="s">
        <v>17</v>
      </c>
      <c r="H668">
        <v>1</v>
      </c>
      <c r="I668">
        <v>36623</v>
      </c>
      <c r="J668">
        <v>18590.1227890255</v>
      </c>
      <c r="K668" t="str">
        <f>IF(AND(data_tab[[#This Row],[Revenue]]="",data_tab[[#This Row],[Cost]]=""),"Remove",IF(OR(data_tab[[#This Row],[Revenue]]="",data_tab[[#This Row],[Cost]]=""),"Flag","Valid"))</f>
        <v>Valid</v>
      </c>
      <c r="L668" t="str">
        <f>IF((COUNTIFS(data_tab[Revenue],data_tab[[#This Row],[Revenue]],data_tab[Cost],data_tab[[#This Row],[Cost]]))&gt;1,"Duplicate","Unique")</f>
        <v>Unique</v>
      </c>
      <c r="M668">
        <f>data_tab[[#This Row],[Revenue]]-data_tab[[#This Row],[Cost]]</f>
        <v>18032.8772109745</v>
      </c>
      <c r="N668" t="str">
        <f>IF(data_tab[[#This Row],[Revenue]]&lt;0,"Return","Sale")</f>
        <v>Sale</v>
      </c>
    </row>
    <row r="669" spans="1:14" hidden="1">
      <c r="A669" s="1">
        <v>46188</v>
      </c>
      <c r="B669">
        <f>MONTH(data_tab[[#This Row],[Order Date]])</f>
        <v>6</v>
      </c>
      <c r="C669">
        <f>YEAR(data_tab[[#This Row],[Order Date]])</f>
        <v>2026</v>
      </c>
      <c r="D669" t="s">
        <v>29</v>
      </c>
      <c r="E669" t="s">
        <v>15</v>
      </c>
      <c r="F669" t="s">
        <v>16</v>
      </c>
      <c r="G669" t="s">
        <v>33</v>
      </c>
      <c r="H669">
        <v>7</v>
      </c>
      <c r="I669">
        <v>23541</v>
      </c>
      <c r="J669">
        <v>13289.6801707955</v>
      </c>
      <c r="K669" t="str">
        <f>IF(AND(data_tab[[#This Row],[Revenue]]="",data_tab[[#This Row],[Cost]]=""),"Remove",IF(OR(data_tab[[#This Row],[Revenue]]="",data_tab[[#This Row],[Cost]]=""),"Flag","Valid"))</f>
        <v>Valid</v>
      </c>
      <c r="L669" t="str">
        <f>IF((COUNTIFS(data_tab[Revenue],data_tab[[#This Row],[Revenue]],data_tab[Cost],data_tab[[#This Row],[Cost]]))&gt;1,"Duplicate","Unique")</f>
        <v>Unique</v>
      </c>
      <c r="M669">
        <f>data_tab[[#This Row],[Revenue]]-data_tab[[#This Row],[Cost]]</f>
        <v>10251.3198292045</v>
      </c>
      <c r="N669" t="str">
        <f>IF(data_tab[[#This Row],[Revenue]]&lt;0,"Return","Sale")</f>
        <v>Sale</v>
      </c>
    </row>
    <row r="670" spans="1:14">
      <c r="A670" s="1">
        <v>46152</v>
      </c>
      <c r="B670">
        <f>MONTH(data_tab[[#This Row],[Order Date]])</f>
        <v>5</v>
      </c>
      <c r="C670">
        <f>YEAR(data_tab[[#This Row],[Order Date]])</f>
        <v>2026</v>
      </c>
      <c r="D670" t="s">
        <v>35</v>
      </c>
      <c r="E670" t="s">
        <v>32</v>
      </c>
      <c r="F670" t="s">
        <v>36</v>
      </c>
      <c r="G670" t="s">
        <v>17</v>
      </c>
      <c r="H670">
        <v>5</v>
      </c>
      <c r="I670">
        <v>246910</v>
      </c>
      <c r="J670">
        <v>193714.246504654</v>
      </c>
      <c r="K670" t="str">
        <f>IF(AND(data_tab[[#This Row],[Revenue]]="",data_tab[[#This Row],[Cost]]=""),"Remove",IF(OR(data_tab[[#This Row],[Revenue]]="",data_tab[[#This Row],[Cost]]=""),"Flag","Valid"))</f>
        <v>Valid</v>
      </c>
      <c r="L670" t="str">
        <f>IF((COUNTIFS(data_tab[Revenue],data_tab[[#This Row],[Revenue]],data_tab[Cost],data_tab[[#This Row],[Cost]]))&gt;1,"Duplicate","Unique")</f>
        <v>Unique</v>
      </c>
      <c r="M670">
        <f>data_tab[[#This Row],[Revenue]]-data_tab[[#This Row],[Cost]]</f>
        <v>53195.753495345998</v>
      </c>
      <c r="N670" t="str">
        <f>IF(data_tab[[#This Row],[Revenue]]&lt;0,"Return","Sale")</f>
        <v>Sale</v>
      </c>
    </row>
    <row r="671" spans="1:14" hidden="1">
      <c r="A671" s="1">
        <v>46115</v>
      </c>
      <c r="B671">
        <f>MONTH(data_tab[[#This Row],[Order Date]])</f>
        <v>4</v>
      </c>
      <c r="C671">
        <f>YEAR(data_tab[[#This Row],[Order Date]])</f>
        <v>2026</v>
      </c>
      <c r="D671" t="s">
        <v>23</v>
      </c>
      <c r="E671" t="s">
        <v>15</v>
      </c>
      <c r="F671" t="s">
        <v>21</v>
      </c>
      <c r="G671" t="s">
        <v>26</v>
      </c>
      <c r="H671">
        <v>4</v>
      </c>
      <c r="I671">
        <v>82044</v>
      </c>
      <c r="J671">
        <v>63689.0358809584</v>
      </c>
      <c r="K671" t="str">
        <f>IF(AND(data_tab[[#This Row],[Revenue]]="",data_tab[[#This Row],[Cost]]=""),"Remove",IF(OR(data_tab[[#This Row],[Revenue]]="",data_tab[[#This Row],[Cost]]=""),"Flag","Valid"))</f>
        <v>Valid</v>
      </c>
      <c r="L671" t="str">
        <f>IF((COUNTIFS(data_tab[Revenue],data_tab[[#This Row],[Revenue]],data_tab[Cost],data_tab[[#This Row],[Cost]]))&gt;1,"Duplicate","Unique")</f>
        <v>Unique</v>
      </c>
      <c r="M671">
        <f>data_tab[[#This Row],[Revenue]]-data_tab[[#This Row],[Cost]]</f>
        <v>18354.9641190416</v>
      </c>
      <c r="N671" t="str">
        <f>IF(data_tab[[#This Row],[Revenue]]&lt;0,"Return","Sale")</f>
        <v>Sale</v>
      </c>
    </row>
    <row r="672" spans="1:14" hidden="1">
      <c r="A672" s="1">
        <v>46063</v>
      </c>
      <c r="B672">
        <f>MONTH(data_tab[[#This Row],[Order Date]])</f>
        <v>2</v>
      </c>
      <c r="C672">
        <f>YEAR(data_tab[[#This Row],[Order Date]])</f>
        <v>2026</v>
      </c>
      <c r="D672" t="s">
        <v>29</v>
      </c>
      <c r="E672" t="s">
        <v>15</v>
      </c>
      <c r="F672" t="s">
        <v>36</v>
      </c>
      <c r="G672" t="s">
        <v>37</v>
      </c>
      <c r="H672">
        <v>4</v>
      </c>
      <c r="I672">
        <v>62900</v>
      </c>
      <c r="J672">
        <v>45459.855652926497</v>
      </c>
      <c r="K672" t="str">
        <f>IF(AND(data_tab[[#This Row],[Revenue]]="",data_tab[[#This Row],[Cost]]=""),"Remove",IF(OR(data_tab[[#This Row],[Revenue]]="",data_tab[[#This Row],[Cost]]=""),"Flag","Valid"))</f>
        <v>Valid</v>
      </c>
      <c r="L672" t="str">
        <f>IF((COUNTIFS(data_tab[Revenue],data_tab[[#This Row],[Revenue]],data_tab[Cost],data_tab[[#This Row],[Cost]]))&gt;1,"Duplicate","Unique")</f>
        <v>Unique</v>
      </c>
      <c r="M672">
        <f>data_tab[[#This Row],[Revenue]]-data_tab[[#This Row],[Cost]]</f>
        <v>17440.144347073503</v>
      </c>
      <c r="N672" t="str">
        <f>IF(data_tab[[#This Row],[Revenue]]&lt;0,"Return","Sale")</f>
        <v>Sale</v>
      </c>
    </row>
    <row r="673" spans="1:14" hidden="1">
      <c r="A673" s="1">
        <v>46196</v>
      </c>
      <c r="B673">
        <f>MONTH(data_tab[[#This Row],[Order Date]])</f>
        <v>6</v>
      </c>
      <c r="C673">
        <f>YEAR(data_tab[[#This Row],[Order Date]])</f>
        <v>2026</v>
      </c>
      <c r="D673" t="s">
        <v>23</v>
      </c>
      <c r="E673" t="s">
        <v>15</v>
      </c>
      <c r="F673" t="s">
        <v>24</v>
      </c>
      <c r="G673" t="s">
        <v>39</v>
      </c>
      <c r="H673">
        <v>6</v>
      </c>
      <c r="I673">
        <v>181326</v>
      </c>
      <c r="J673">
        <v>98929.238435668303</v>
      </c>
      <c r="K673" t="str">
        <f>IF(AND(data_tab[[#This Row],[Revenue]]="",data_tab[[#This Row],[Cost]]=""),"Remove",IF(OR(data_tab[[#This Row],[Revenue]]="",data_tab[[#This Row],[Cost]]=""),"Flag","Valid"))</f>
        <v>Valid</v>
      </c>
      <c r="L673" t="str">
        <f>IF((COUNTIFS(data_tab[Revenue],data_tab[[#This Row],[Revenue]],data_tab[Cost],data_tab[[#This Row],[Cost]]))&gt;1,"Duplicate","Unique")</f>
        <v>Unique</v>
      </c>
      <c r="M673">
        <f>data_tab[[#This Row],[Revenue]]-data_tab[[#This Row],[Cost]]</f>
        <v>82396.761564331697</v>
      </c>
      <c r="N673" t="str">
        <f>IF(data_tab[[#This Row],[Revenue]]&lt;0,"Return","Sale")</f>
        <v>Sale</v>
      </c>
    </row>
    <row r="674" spans="1:14" hidden="1">
      <c r="A674" s="1">
        <v>46110</v>
      </c>
      <c r="B674">
        <f>MONTH(data_tab[[#This Row],[Order Date]])</f>
        <v>3</v>
      </c>
      <c r="C674">
        <f>YEAR(data_tab[[#This Row],[Order Date]])</f>
        <v>2026</v>
      </c>
      <c r="D674" t="s">
        <v>23</v>
      </c>
      <c r="E674" t="s">
        <v>15</v>
      </c>
      <c r="F674" t="s">
        <v>16</v>
      </c>
      <c r="G674" t="s">
        <v>17</v>
      </c>
      <c r="H674">
        <v>9</v>
      </c>
      <c r="I674">
        <v>374418</v>
      </c>
      <c r="J674">
        <v>287476.02720744198</v>
      </c>
      <c r="K674" t="str">
        <f>IF(AND(data_tab[[#This Row],[Revenue]]="",data_tab[[#This Row],[Cost]]=""),"Remove",IF(OR(data_tab[[#This Row],[Revenue]]="",data_tab[[#This Row],[Cost]]=""),"Flag","Valid"))</f>
        <v>Valid</v>
      </c>
      <c r="L674" t="str">
        <f>IF((COUNTIFS(data_tab[Revenue],data_tab[[#This Row],[Revenue]],data_tab[Cost],data_tab[[#This Row],[Cost]]))&gt;1,"Duplicate","Unique")</f>
        <v>Unique</v>
      </c>
      <c r="M674">
        <f>data_tab[[#This Row],[Revenue]]-data_tab[[#This Row],[Cost]]</f>
        <v>86941.972792558023</v>
      </c>
      <c r="N674" t="str">
        <f>IF(data_tab[[#This Row],[Revenue]]&lt;0,"Return","Sale")</f>
        <v>Sale</v>
      </c>
    </row>
    <row r="675" spans="1:14" hidden="1">
      <c r="A675" s="1">
        <v>46140</v>
      </c>
      <c r="B675">
        <f>MONTH(data_tab[[#This Row],[Order Date]])</f>
        <v>4</v>
      </c>
      <c r="C675">
        <f>YEAR(data_tab[[#This Row],[Order Date]])</f>
        <v>2026</v>
      </c>
      <c r="D675" t="s">
        <v>20</v>
      </c>
      <c r="E675" t="s">
        <v>15</v>
      </c>
      <c r="F675" t="s">
        <v>24</v>
      </c>
      <c r="G675" t="s">
        <v>26</v>
      </c>
      <c r="H675">
        <v>1</v>
      </c>
      <c r="I675">
        <v>35246</v>
      </c>
      <c r="J675">
        <v>19109.127623151799</v>
      </c>
      <c r="K675" t="str">
        <f>IF(AND(data_tab[[#This Row],[Revenue]]="",data_tab[[#This Row],[Cost]]=""),"Remove",IF(OR(data_tab[[#This Row],[Revenue]]="",data_tab[[#This Row],[Cost]]=""),"Flag","Valid"))</f>
        <v>Valid</v>
      </c>
      <c r="L675" t="str">
        <f>IF((COUNTIFS(data_tab[Revenue],data_tab[[#This Row],[Revenue]],data_tab[Cost],data_tab[[#This Row],[Cost]]))&gt;1,"Duplicate","Unique")</f>
        <v>Unique</v>
      </c>
      <c r="M675">
        <f>data_tab[[#This Row],[Revenue]]-data_tab[[#This Row],[Cost]]</f>
        <v>16136.872376848201</v>
      </c>
      <c r="N675" t="str">
        <f>IF(data_tab[[#This Row],[Revenue]]&lt;0,"Return","Sale")</f>
        <v>Sale</v>
      </c>
    </row>
    <row r="676" spans="1:14" hidden="1">
      <c r="A676" s="1">
        <v>46063</v>
      </c>
      <c r="B676">
        <f>MONTH(data_tab[[#This Row],[Order Date]])</f>
        <v>2</v>
      </c>
      <c r="C676">
        <f>YEAR(data_tab[[#This Row],[Order Date]])</f>
        <v>2026</v>
      </c>
      <c r="D676" t="s">
        <v>23</v>
      </c>
      <c r="E676" t="s">
        <v>15</v>
      </c>
      <c r="F676" t="s">
        <v>36</v>
      </c>
      <c r="G676" t="s">
        <v>41</v>
      </c>
      <c r="H676">
        <v>2</v>
      </c>
      <c r="I676">
        <v>24222</v>
      </c>
      <c r="J676">
        <v>18380.554376800101</v>
      </c>
      <c r="K676" t="str">
        <f>IF(AND(data_tab[[#This Row],[Revenue]]="",data_tab[[#This Row],[Cost]]=""),"Remove",IF(OR(data_tab[[#This Row],[Revenue]]="",data_tab[[#This Row],[Cost]]=""),"Flag","Valid"))</f>
        <v>Valid</v>
      </c>
      <c r="L676" t="str">
        <f>IF((COUNTIFS(data_tab[Revenue],data_tab[[#This Row],[Revenue]],data_tab[Cost],data_tab[[#This Row],[Cost]]))&gt;1,"Duplicate","Unique")</f>
        <v>Unique</v>
      </c>
      <c r="M676">
        <f>data_tab[[#This Row],[Revenue]]-data_tab[[#This Row],[Cost]]</f>
        <v>5841.4456231998993</v>
      </c>
      <c r="N676" t="str">
        <f>IF(data_tab[[#This Row],[Revenue]]&lt;0,"Return","Sale")</f>
        <v>Sale</v>
      </c>
    </row>
    <row r="677" spans="1:14" hidden="1">
      <c r="A677" s="1">
        <v>46135</v>
      </c>
      <c r="B677">
        <f>MONTH(data_tab[[#This Row],[Order Date]])</f>
        <v>4</v>
      </c>
      <c r="C677">
        <f>YEAR(data_tab[[#This Row],[Order Date]])</f>
        <v>2026</v>
      </c>
      <c r="D677" t="s">
        <v>20</v>
      </c>
      <c r="E677" t="s">
        <v>15</v>
      </c>
      <c r="F677" t="s">
        <v>21</v>
      </c>
      <c r="G677" t="s">
        <v>33</v>
      </c>
      <c r="H677">
        <v>6</v>
      </c>
      <c r="I677">
        <v>124752</v>
      </c>
      <c r="J677">
        <v>87577.038156811104</v>
      </c>
      <c r="K677" t="str">
        <f>IF(AND(data_tab[[#This Row],[Revenue]]="",data_tab[[#This Row],[Cost]]=""),"Remove",IF(OR(data_tab[[#This Row],[Revenue]]="",data_tab[[#This Row],[Cost]]=""),"Flag","Valid"))</f>
        <v>Valid</v>
      </c>
      <c r="L677" t="str">
        <f>IF((COUNTIFS(data_tab[Revenue],data_tab[[#This Row],[Revenue]],data_tab[Cost],data_tab[[#This Row],[Cost]]))&gt;1,"Duplicate","Unique")</f>
        <v>Unique</v>
      </c>
      <c r="M677">
        <f>data_tab[[#This Row],[Revenue]]-data_tab[[#This Row],[Cost]]</f>
        <v>37174.961843188896</v>
      </c>
      <c r="N677" t="str">
        <f>IF(data_tab[[#This Row],[Revenue]]&lt;0,"Return","Sale")</f>
        <v>Sale</v>
      </c>
    </row>
    <row r="678" spans="1:14" hidden="1">
      <c r="A678" s="1">
        <v>46115</v>
      </c>
      <c r="B678">
        <f>MONTH(data_tab[[#This Row],[Order Date]])</f>
        <v>4</v>
      </c>
      <c r="C678">
        <f>YEAR(data_tab[[#This Row],[Order Date]])</f>
        <v>2026</v>
      </c>
      <c r="D678" t="s">
        <v>23</v>
      </c>
      <c r="E678" t="s">
        <v>15</v>
      </c>
      <c r="F678" t="s">
        <v>36</v>
      </c>
      <c r="G678" t="s">
        <v>17</v>
      </c>
      <c r="H678">
        <v>3</v>
      </c>
      <c r="I678">
        <v>90309</v>
      </c>
      <c r="J678">
        <v>60088.336479048303</v>
      </c>
      <c r="K678" t="str">
        <f>IF(AND(data_tab[[#This Row],[Revenue]]="",data_tab[[#This Row],[Cost]]=""),"Remove",IF(OR(data_tab[[#This Row],[Revenue]]="",data_tab[[#This Row],[Cost]]=""),"Flag","Valid"))</f>
        <v>Valid</v>
      </c>
      <c r="L678" t="str">
        <f>IF((COUNTIFS(data_tab[Revenue],data_tab[[#This Row],[Revenue]],data_tab[Cost],data_tab[[#This Row],[Cost]]))&gt;1,"Duplicate","Unique")</f>
        <v>Unique</v>
      </c>
      <c r="M678">
        <f>data_tab[[#This Row],[Revenue]]-data_tab[[#This Row],[Cost]]</f>
        <v>30220.663520951697</v>
      </c>
      <c r="N678" t="str">
        <f>IF(data_tab[[#This Row],[Revenue]]&lt;0,"Return","Sale")</f>
        <v>Sale</v>
      </c>
    </row>
    <row r="679" spans="1:14" hidden="1">
      <c r="A679" s="1">
        <v>46197</v>
      </c>
      <c r="B679">
        <f>MONTH(data_tab[[#This Row],[Order Date]])</f>
        <v>6</v>
      </c>
      <c r="C679">
        <f>YEAR(data_tab[[#This Row],[Order Date]])</f>
        <v>2026</v>
      </c>
      <c r="D679" t="s">
        <v>31</v>
      </c>
      <c r="E679" t="s">
        <v>32</v>
      </c>
      <c r="F679" t="s">
        <v>24</v>
      </c>
      <c r="G679" t="s">
        <v>41</v>
      </c>
      <c r="H679">
        <v>9</v>
      </c>
      <c r="I679">
        <v>59040</v>
      </c>
      <c r="J679">
        <v>31522.122314373901</v>
      </c>
      <c r="K679" t="str">
        <f>IF(AND(data_tab[[#This Row],[Revenue]]="",data_tab[[#This Row],[Cost]]=""),"Remove",IF(OR(data_tab[[#This Row],[Revenue]]="",data_tab[[#This Row],[Cost]]=""),"Flag","Valid"))</f>
        <v>Valid</v>
      </c>
      <c r="L679" t="str">
        <f>IF((COUNTIFS(data_tab[Revenue],data_tab[[#This Row],[Revenue]],data_tab[Cost],data_tab[[#This Row],[Cost]]))&gt;1,"Duplicate","Unique")</f>
        <v>Unique</v>
      </c>
      <c r="M679">
        <f>data_tab[[#This Row],[Revenue]]-data_tab[[#This Row],[Cost]]</f>
        <v>27517.877685626099</v>
      </c>
      <c r="N679" t="str">
        <f>IF(data_tab[[#This Row],[Revenue]]&lt;0,"Return","Sale")</f>
        <v>Sale</v>
      </c>
    </row>
    <row r="680" spans="1:14" hidden="1">
      <c r="A680" s="1">
        <v>46038</v>
      </c>
      <c r="B680">
        <f>MONTH(data_tab[[#This Row],[Order Date]])</f>
        <v>1</v>
      </c>
      <c r="C680">
        <f>YEAR(data_tab[[#This Row],[Order Date]])</f>
        <v>2026</v>
      </c>
      <c r="D680" t="s">
        <v>14</v>
      </c>
      <c r="E680" t="s">
        <v>15</v>
      </c>
      <c r="F680" t="s">
        <v>21</v>
      </c>
      <c r="G680" t="s">
        <v>26</v>
      </c>
      <c r="H680">
        <v>1</v>
      </c>
      <c r="I680">
        <v>43393</v>
      </c>
      <c r="J680">
        <v>38707.373086804801</v>
      </c>
      <c r="K680" t="str">
        <f>IF(AND(data_tab[[#This Row],[Revenue]]="",data_tab[[#This Row],[Cost]]=""),"Remove",IF(OR(data_tab[[#This Row],[Revenue]]="",data_tab[[#This Row],[Cost]]=""),"Flag","Valid"))</f>
        <v>Valid</v>
      </c>
      <c r="L680" t="str">
        <f>IF((COUNTIFS(data_tab[Revenue],data_tab[[#This Row],[Revenue]],data_tab[Cost],data_tab[[#This Row],[Cost]]))&gt;1,"Duplicate","Unique")</f>
        <v>Duplicate</v>
      </c>
      <c r="M680">
        <f>data_tab[[#This Row],[Revenue]]-data_tab[[#This Row],[Cost]]</f>
        <v>4685.6269131951994</v>
      </c>
      <c r="N680" t="str">
        <f>IF(data_tab[[#This Row],[Revenue]]&lt;0,"Return","Sale")</f>
        <v>Sale</v>
      </c>
    </row>
    <row r="681" spans="1:14" hidden="1">
      <c r="A681" s="1">
        <v>46130</v>
      </c>
      <c r="B681">
        <f>MONTH(data_tab[[#This Row],[Order Date]])</f>
        <v>4</v>
      </c>
      <c r="C681">
        <f>YEAR(data_tab[[#This Row],[Order Date]])</f>
        <v>2026</v>
      </c>
      <c r="D681" t="s">
        <v>40</v>
      </c>
      <c r="E681" t="s">
        <v>15</v>
      </c>
      <c r="F681" t="s">
        <v>16</v>
      </c>
      <c r="G681" t="s">
        <v>41</v>
      </c>
      <c r="H681">
        <v>6</v>
      </c>
      <c r="I681">
        <v>147324</v>
      </c>
      <c r="J681">
        <v>74127.675459484599</v>
      </c>
      <c r="K681" t="str">
        <f>IF(AND(data_tab[[#This Row],[Revenue]]="",data_tab[[#This Row],[Cost]]=""),"Remove",IF(OR(data_tab[[#This Row],[Revenue]]="",data_tab[[#This Row],[Cost]]=""),"Flag","Valid"))</f>
        <v>Valid</v>
      </c>
      <c r="L681" t="str">
        <f>IF((COUNTIFS(data_tab[Revenue],data_tab[[#This Row],[Revenue]],data_tab[Cost],data_tab[[#This Row],[Cost]]))&gt;1,"Duplicate","Unique")</f>
        <v>Unique</v>
      </c>
      <c r="M681">
        <f>data_tab[[#This Row],[Revenue]]-data_tab[[#This Row],[Cost]]</f>
        <v>73196.324540515401</v>
      </c>
      <c r="N681" t="str">
        <f>IF(data_tab[[#This Row],[Revenue]]&lt;0,"Return","Sale")</f>
        <v>Sale</v>
      </c>
    </row>
    <row r="682" spans="1:14" hidden="1">
      <c r="A682" s="1">
        <v>46202</v>
      </c>
      <c r="B682">
        <f>MONTH(data_tab[[#This Row],[Order Date]])</f>
        <v>6</v>
      </c>
      <c r="C682">
        <f>YEAR(data_tab[[#This Row],[Order Date]])</f>
        <v>2026</v>
      </c>
      <c r="D682" t="s">
        <v>40</v>
      </c>
      <c r="E682" t="s">
        <v>15</v>
      </c>
      <c r="F682" t="s">
        <v>36</v>
      </c>
      <c r="G682" t="s">
        <v>41</v>
      </c>
      <c r="H682">
        <v>6</v>
      </c>
      <c r="I682">
        <v>267096</v>
      </c>
      <c r="J682">
        <v>176764.742382533</v>
      </c>
      <c r="K682" t="str">
        <f>IF(AND(data_tab[[#This Row],[Revenue]]="",data_tab[[#This Row],[Cost]]=""),"Remove",IF(OR(data_tab[[#This Row],[Revenue]]="",data_tab[[#This Row],[Cost]]=""),"Flag","Valid"))</f>
        <v>Valid</v>
      </c>
      <c r="L682" t="str">
        <f>IF((COUNTIFS(data_tab[Revenue],data_tab[[#This Row],[Revenue]],data_tab[Cost],data_tab[[#This Row],[Cost]]))&gt;1,"Duplicate","Unique")</f>
        <v>Unique</v>
      </c>
      <c r="M682">
        <f>data_tab[[#This Row],[Revenue]]-data_tab[[#This Row],[Cost]]</f>
        <v>90331.257617466996</v>
      </c>
      <c r="N682" t="str">
        <f>IF(data_tab[[#This Row],[Revenue]]&lt;0,"Return","Sale")</f>
        <v>Sale</v>
      </c>
    </row>
    <row r="683" spans="1:14" hidden="1">
      <c r="A683" s="1">
        <v>46108</v>
      </c>
      <c r="B683">
        <f>MONTH(data_tab[[#This Row],[Order Date]])</f>
        <v>3</v>
      </c>
      <c r="C683">
        <f>YEAR(data_tab[[#This Row],[Order Date]])</f>
        <v>2026</v>
      </c>
      <c r="D683" t="s">
        <v>31</v>
      </c>
      <c r="E683" t="s">
        <v>32</v>
      </c>
      <c r="F683" t="s">
        <v>16</v>
      </c>
      <c r="G683" t="s">
        <v>17</v>
      </c>
      <c r="H683">
        <v>2</v>
      </c>
      <c r="I683">
        <v>71064</v>
      </c>
      <c r="J683">
        <v>51216.8438964542</v>
      </c>
      <c r="K683" t="str">
        <f>IF(AND(data_tab[[#This Row],[Revenue]]="",data_tab[[#This Row],[Cost]]=""),"Remove",IF(OR(data_tab[[#This Row],[Revenue]]="",data_tab[[#This Row],[Cost]]=""),"Flag","Valid"))</f>
        <v>Valid</v>
      </c>
      <c r="L683" t="str">
        <f>IF((COUNTIFS(data_tab[Revenue],data_tab[[#This Row],[Revenue]],data_tab[Cost],data_tab[[#This Row],[Cost]]))&gt;1,"Duplicate","Unique")</f>
        <v>Unique</v>
      </c>
      <c r="M683">
        <f>data_tab[[#This Row],[Revenue]]-data_tab[[#This Row],[Cost]]</f>
        <v>19847.1561035458</v>
      </c>
      <c r="N683" t="str">
        <f>IF(data_tab[[#This Row],[Revenue]]&lt;0,"Return","Sale")</f>
        <v>Sale</v>
      </c>
    </row>
    <row r="684" spans="1:14" hidden="1">
      <c r="A684" s="1">
        <v>46030</v>
      </c>
      <c r="B684">
        <f>MONTH(data_tab[[#This Row],[Order Date]])</f>
        <v>1</v>
      </c>
      <c r="C684">
        <f>YEAR(data_tab[[#This Row],[Order Date]])</f>
        <v>2026</v>
      </c>
      <c r="D684" t="s">
        <v>35</v>
      </c>
      <c r="E684" t="s">
        <v>32</v>
      </c>
      <c r="F684" t="s">
        <v>21</v>
      </c>
      <c r="G684" t="s">
        <v>37</v>
      </c>
      <c r="H684">
        <v>7</v>
      </c>
      <c r="I684">
        <v>245791</v>
      </c>
      <c r="J684">
        <v>133753.75063099401</v>
      </c>
      <c r="K684" t="str">
        <f>IF(AND(data_tab[[#This Row],[Revenue]]="",data_tab[[#This Row],[Cost]]=""),"Remove",IF(OR(data_tab[[#This Row],[Revenue]]="",data_tab[[#This Row],[Cost]]=""),"Flag","Valid"))</f>
        <v>Valid</v>
      </c>
      <c r="L684" t="str">
        <f>IF((COUNTIFS(data_tab[Revenue],data_tab[[#This Row],[Revenue]],data_tab[Cost],data_tab[[#This Row],[Cost]]))&gt;1,"Duplicate","Unique")</f>
        <v>Unique</v>
      </c>
      <c r="M684">
        <f>data_tab[[#This Row],[Revenue]]-data_tab[[#This Row],[Cost]]</f>
        <v>112037.24936900599</v>
      </c>
      <c r="N684" t="str">
        <f>IF(data_tab[[#This Row],[Revenue]]&lt;0,"Return","Sale")</f>
        <v>Sale</v>
      </c>
    </row>
    <row r="685" spans="1:14" hidden="1">
      <c r="A685" s="1">
        <v>46026</v>
      </c>
      <c r="B685">
        <f>MONTH(data_tab[[#This Row],[Order Date]])</f>
        <v>1</v>
      </c>
      <c r="C685">
        <f>YEAR(data_tab[[#This Row],[Order Date]])</f>
        <v>2026</v>
      </c>
      <c r="D685" t="s">
        <v>23</v>
      </c>
      <c r="E685" t="s">
        <v>15</v>
      </c>
      <c r="F685" t="s">
        <v>24</v>
      </c>
      <c r="G685" t="s">
        <v>33</v>
      </c>
      <c r="H685">
        <v>5</v>
      </c>
      <c r="I685">
        <v>197575</v>
      </c>
      <c r="J685">
        <v>157021.44272783399</v>
      </c>
      <c r="K685" t="str">
        <f>IF(AND(data_tab[[#This Row],[Revenue]]="",data_tab[[#This Row],[Cost]]=""),"Remove",IF(OR(data_tab[[#This Row],[Revenue]]="",data_tab[[#This Row],[Cost]]=""),"Flag","Valid"))</f>
        <v>Valid</v>
      </c>
      <c r="L685" t="str">
        <f>IF((COUNTIFS(data_tab[Revenue],data_tab[[#This Row],[Revenue]],data_tab[Cost],data_tab[[#This Row],[Cost]]))&gt;1,"Duplicate","Unique")</f>
        <v>Unique</v>
      </c>
      <c r="M685">
        <f>data_tab[[#This Row],[Revenue]]-data_tab[[#This Row],[Cost]]</f>
        <v>40553.557272166014</v>
      </c>
      <c r="N685" t="str">
        <f>IF(data_tab[[#This Row],[Revenue]]&lt;0,"Return","Sale")</f>
        <v>Sale</v>
      </c>
    </row>
    <row r="686" spans="1:14">
      <c r="A686" s="1">
        <v>46171</v>
      </c>
      <c r="B686">
        <f>MONTH(data_tab[[#This Row],[Order Date]])</f>
        <v>5</v>
      </c>
      <c r="C686">
        <f>YEAR(data_tab[[#This Row],[Order Date]])</f>
        <v>2026</v>
      </c>
      <c r="D686" t="s">
        <v>14</v>
      </c>
      <c r="E686" t="s">
        <v>15</v>
      </c>
      <c r="F686" t="s">
        <v>21</v>
      </c>
      <c r="G686" t="s">
        <v>37</v>
      </c>
      <c r="H686">
        <v>5</v>
      </c>
      <c r="I686">
        <v>103235</v>
      </c>
      <c r="J686">
        <v>79157.392510153993</v>
      </c>
      <c r="K686" t="str">
        <f>IF(AND(data_tab[[#This Row],[Revenue]]="",data_tab[[#This Row],[Cost]]=""),"Remove",IF(OR(data_tab[[#This Row],[Revenue]]="",data_tab[[#This Row],[Cost]]=""),"Flag","Valid"))</f>
        <v>Valid</v>
      </c>
      <c r="L686" t="str">
        <f>IF((COUNTIFS(data_tab[Revenue],data_tab[[#This Row],[Revenue]],data_tab[Cost],data_tab[[#This Row],[Cost]]))&gt;1,"Duplicate","Unique")</f>
        <v>Unique</v>
      </c>
      <c r="M686">
        <f>data_tab[[#This Row],[Revenue]]-data_tab[[#This Row],[Cost]]</f>
        <v>24077.607489846007</v>
      </c>
      <c r="N686" t="str">
        <f>IF(data_tab[[#This Row],[Revenue]]&lt;0,"Return","Sale")</f>
        <v>Sale</v>
      </c>
    </row>
    <row r="687" spans="1:14" hidden="1">
      <c r="A687" s="1">
        <v>46119</v>
      </c>
      <c r="B687">
        <f>MONTH(data_tab[[#This Row],[Order Date]])</f>
        <v>4</v>
      </c>
      <c r="C687">
        <f>YEAR(data_tab[[#This Row],[Order Date]])</f>
        <v>2026</v>
      </c>
      <c r="D687" t="s">
        <v>35</v>
      </c>
      <c r="E687" t="s">
        <v>32</v>
      </c>
      <c r="F687" t="s">
        <v>21</v>
      </c>
      <c r="G687" t="s">
        <v>37</v>
      </c>
      <c r="H687">
        <v>8</v>
      </c>
      <c r="I687">
        <v>67368</v>
      </c>
      <c r="J687">
        <v>37633.199831884398</v>
      </c>
      <c r="K687" t="str">
        <f>IF(AND(data_tab[[#This Row],[Revenue]]="",data_tab[[#This Row],[Cost]]=""),"Remove",IF(OR(data_tab[[#This Row],[Revenue]]="",data_tab[[#This Row],[Cost]]=""),"Flag","Valid"))</f>
        <v>Valid</v>
      </c>
      <c r="L687" t="str">
        <f>IF((COUNTIFS(data_tab[Revenue],data_tab[[#This Row],[Revenue]],data_tab[Cost],data_tab[[#This Row],[Cost]]))&gt;1,"Duplicate","Unique")</f>
        <v>Unique</v>
      </c>
      <c r="M687">
        <f>data_tab[[#This Row],[Revenue]]-data_tab[[#This Row],[Cost]]</f>
        <v>29734.800168115602</v>
      </c>
      <c r="N687" t="str">
        <f>IF(data_tab[[#This Row],[Revenue]]&lt;0,"Return","Sale")</f>
        <v>Sale</v>
      </c>
    </row>
    <row r="688" spans="1:14" hidden="1">
      <c r="A688" s="1">
        <v>46131</v>
      </c>
      <c r="B688">
        <f>MONTH(data_tab[[#This Row],[Order Date]])</f>
        <v>4</v>
      </c>
      <c r="C688">
        <f>YEAR(data_tab[[#This Row],[Order Date]])</f>
        <v>2026</v>
      </c>
      <c r="D688" t="s">
        <v>29</v>
      </c>
      <c r="E688" t="s">
        <v>15</v>
      </c>
      <c r="F688" t="s">
        <v>24</v>
      </c>
      <c r="G688" t="s">
        <v>37</v>
      </c>
      <c r="H688">
        <v>9</v>
      </c>
      <c r="I688">
        <v>255546</v>
      </c>
      <c r="J688">
        <v>187901.89620315999</v>
      </c>
      <c r="K688" t="str">
        <f>IF(AND(data_tab[[#This Row],[Revenue]]="",data_tab[[#This Row],[Cost]]=""),"Remove",IF(OR(data_tab[[#This Row],[Revenue]]="",data_tab[[#This Row],[Cost]]=""),"Flag","Valid"))</f>
        <v>Valid</v>
      </c>
      <c r="L688" t="str">
        <f>IF((COUNTIFS(data_tab[Revenue],data_tab[[#This Row],[Revenue]],data_tab[Cost],data_tab[[#This Row],[Cost]]))&gt;1,"Duplicate","Unique")</f>
        <v>Unique</v>
      </c>
      <c r="M688">
        <f>data_tab[[#This Row],[Revenue]]-data_tab[[#This Row],[Cost]]</f>
        <v>67644.103796840005</v>
      </c>
      <c r="N688" t="str">
        <f>IF(data_tab[[#This Row],[Revenue]]&lt;0,"Return","Sale")</f>
        <v>Sale</v>
      </c>
    </row>
    <row r="689" spans="1:14">
      <c r="A689" s="1">
        <v>46150</v>
      </c>
      <c r="B689">
        <f>MONTH(data_tab[[#This Row],[Order Date]])</f>
        <v>5</v>
      </c>
      <c r="C689">
        <f>YEAR(data_tab[[#This Row],[Order Date]])</f>
        <v>2026</v>
      </c>
      <c r="D689" t="s">
        <v>14</v>
      </c>
      <c r="E689" t="s">
        <v>15</v>
      </c>
      <c r="F689" t="s">
        <v>36</v>
      </c>
      <c r="G689" t="s">
        <v>41</v>
      </c>
      <c r="H689">
        <v>7</v>
      </c>
      <c r="I689">
        <v>88704</v>
      </c>
      <c r="J689">
        <v>49473.633468059299</v>
      </c>
      <c r="K689" t="str">
        <f>IF(AND(data_tab[[#This Row],[Revenue]]="",data_tab[[#This Row],[Cost]]=""),"Remove",IF(OR(data_tab[[#This Row],[Revenue]]="",data_tab[[#This Row],[Cost]]=""),"Flag","Valid"))</f>
        <v>Valid</v>
      </c>
      <c r="L689" t="str">
        <f>IF((COUNTIFS(data_tab[Revenue],data_tab[[#This Row],[Revenue]],data_tab[Cost],data_tab[[#This Row],[Cost]]))&gt;1,"Duplicate","Unique")</f>
        <v>Duplicate</v>
      </c>
      <c r="M689">
        <f>data_tab[[#This Row],[Revenue]]-data_tab[[#This Row],[Cost]]</f>
        <v>39230.366531940701</v>
      </c>
      <c r="N689" t="str">
        <f>IF(data_tab[[#This Row],[Revenue]]&lt;0,"Return","Sale")</f>
        <v>Sale</v>
      </c>
    </row>
    <row r="690" spans="1:14" hidden="1">
      <c r="A690" s="1">
        <v>46203</v>
      </c>
      <c r="B690">
        <f>MONTH(data_tab[[#This Row],[Order Date]])</f>
        <v>6</v>
      </c>
      <c r="C690">
        <f>YEAR(data_tab[[#This Row],[Order Date]])</f>
        <v>2026</v>
      </c>
      <c r="D690" t="s">
        <v>14</v>
      </c>
      <c r="E690" t="s">
        <v>15</v>
      </c>
      <c r="F690" t="s">
        <v>21</v>
      </c>
      <c r="G690" t="s">
        <v>33</v>
      </c>
      <c r="H690">
        <v>8</v>
      </c>
      <c r="I690">
        <v>33088</v>
      </c>
      <c r="J690">
        <v>26424.027909676701</v>
      </c>
      <c r="K690" t="str">
        <f>IF(AND(data_tab[[#This Row],[Revenue]]="",data_tab[[#This Row],[Cost]]=""),"Remove",IF(OR(data_tab[[#This Row],[Revenue]]="",data_tab[[#This Row],[Cost]]=""),"Flag","Valid"))</f>
        <v>Valid</v>
      </c>
      <c r="L690" t="str">
        <f>IF((COUNTIFS(data_tab[Revenue],data_tab[[#This Row],[Revenue]],data_tab[Cost],data_tab[[#This Row],[Cost]]))&gt;1,"Duplicate","Unique")</f>
        <v>Unique</v>
      </c>
      <c r="M690">
        <f>data_tab[[#This Row],[Revenue]]-data_tab[[#This Row],[Cost]]</f>
        <v>6663.9720903232992</v>
      </c>
      <c r="N690" t="str">
        <f>IF(data_tab[[#This Row],[Revenue]]&lt;0,"Return","Sale")</f>
        <v>Sale</v>
      </c>
    </row>
    <row r="691" spans="1:14" hidden="1">
      <c r="A691" s="1">
        <v>46177</v>
      </c>
      <c r="B691">
        <f>MONTH(data_tab[[#This Row],[Order Date]])</f>
        <v>6</v>
      </c>
      <c r="C691">
        <f>YEAR(data_tab[[#This Row],[Order Date]])</f>
        <v>2026</v>
      </c>
      <c r="D691" t="s">
        <v>35</v>
      </c>
      <c r="E691" t="s">
        <v>32</v>
      </c>
      <c r="F691" t="s">
        <v>16</v>
      </c>
      <c r="G691" t="s">
        <v>39</v>
      </c>
      <c r="H691">
        <v>9</v>
      </c>
      <c r="I691">
        <v>108414</v>
      </c>
      <c r="J691">
        <v>59312.961729169598</v>
      </c>
      <c r="K691" t="str">
        <f>IF(AND(data_tab[[#This Row],[Revenue]]="",data_tab[[#This Row],[Cost]]=""),"Remove",IF(OR(data_tab[[#This Row],[Revenue]]="",data_tab[[#This Row],[Cost]]=""),"Flag","Valid"))</f>
        <v>Valid</v>
      </c>
      <c r="L691" t="str">
        <f>IF((COUNTIFS(data_tab[Revenue],data_tab[[#This Row],[Revenue]],data_tab[Cost],data_tab[[#This Row],[Cost]]))&gt;1,"Duplicate","Unique")</f>
        <v>Unique</v>
      </c>
      <c r="M691">
        <f>data_tab[[#This Row],[Revenue]]-data_tab[[#This Row],[Cost]]</f>
        <v>49101.038270830402</v>
      </c>
      <c r="N691" t="str">
        <f>IF(data_tab[[#This Row],[Revenue]]&lt;0,"Return","Sale")</f>
        <v>Sale</v>
      </c>
    </row>
    <row r="692" spans="1:14" hidden="1">
      <c r="A692" s="1">
        <v>46030</v>
      </c>
      <c r="B692">
        <f>MONTH(data_tab[[#This Row],[Order Date]])</f>
        <v>1</v>
      </c>
      <c r="C692">
        <f>YEAR(data_tab[[#This Row],[Order Date]])</f>
        <v>2026</v>
      </c>
      <c r="D692" t="s">
        <v>40</v>
      </c>
      <c r="E692" t="s">
        <v>15</v>
      </c>
      <c r="F692" t="s">
        <v>36</v>
      </c>
      <c r="G692" t="s">
        <v>39</v>
      </c>
      <c r="H692">
        <v>5</v>
      </c>
      <c r="I692">
        <v>102890</v>
      </c>
      <c r="J692">
        <v>60317.470390816903</v>
      </c>
      <c r="K692" t="str">
        <f>IF(AND(data_tab[[#This Row],[Revenue]]="",data_tab[[#This Row],[Cost]]=""),"Remove",IF(OR(data_tab[[#This Row],[Revenue]]="",data_tab[[#This Row],[Cost]]=""),"Flag","Valid"))</f>
        <v>Valid</v>
      </c>
      <c r="L692" t="str">
        <f>IF((COUNTIFS(data_tab[Revenue],data_tab[[#This Row],[Revenue]],data_tab[Cost],data_tab[[#This Row],[Cost]]))&gt;1,"Duplicate","Unique")</f>
        <v>Unique</v>
      </c>
      <c r="M692">
        <f>data_tab[[#This Row],[Revenue]]-data_tab[[#This Row],[Cost]]</f>
        <v>42572.529609183097</v>
      </c>
      <c r="N692" t="str">
        <f>IF(data_tab[[#This Row],[Revenue]]&lt;0,"Return","Sale")</f>
        <v>Sale</v>
      </c>
    </row>
    <row r="693" spans="1:14" hidden="1">
      <c r="A693" s="1">
        <v>46112</v>
      </c>
      <c r="B693">
        <f>MONTH(data_tab[[#This Row],[Order Date]])</f>
        <v>3</v>
      </c>
      <c r="C693">
        <f>YEAR(data_tab[[#This Row],[Order Date]])</f>
        <v>2026</v>
      </c>
      <c r="D693" t="s">
        <v>20</v>
      </c>
      <c r="E693" t="s">
        <v>15</v>
      </c>
      <c r="F693" t="s">
        <v>36</v>
      </c>
      <c r="G693" t="s">
        <v>33</v>
      </c>
      <c r="H693">
        <v>10</v>
      </c>
      <c r="I693">
        <v>222960</v>
      </c>
      <c r="J693">
        <v>161937.09444183501</v>
      </c>
      <c r="K693" t="str">
        <f>IF(AND(data_tab[[#This Row],[Revenue]]="",data_tab[[#This Row],[Cost]]=""),"Remove",IF(OR(data_tab[[#This Row],[Revenue]]="",data_tab[[#This Row],[Cost]]=""),"Flag","Valid"))</f>
        <v>Valid</v>
      </c>
      <c r="L693" t="str">
        <f>IF((COUNTIFS(data_tab[Revenue],data_tab[[#This Row],[Revenue]],data_tab[Cost],data_tab[[#This Row],[Cost]]))&gt;1,"Duplicate","Unique")</f>
        <v>Unique</v>
      </c>
      <c r="M693">
        <f>data_tab[[#This Row],[Revenue]]-data_tab[[#This Row],[Cost]]</f>
        <v>61022.905558164988</v>
      </c>
      <c r="N693" t="str">
        <f>IF(data_tab[[#This Row],[Revenue]]&lt;0,"Return","Sale")</f>
        <v>Sale</v>
      </c>
    </row>
    <row r="694" spans="1:14">
      <c r="A694" s="1">
        <v>46148</v>
      </c>
      <c r="B694">
        <f>MONTH(data_tab[[#This Row],[Order Date]])</f>
        <v>5</v>
      </c>
      <c r="C694">
        <f>YEAR(data_tab[[#This Row],[Order Date]])</f>
        <v>2026</v>
      </c>
      <c r="D694" t="s">
        <v>31</v>
      </c>
      <c r="E694" t="s">
        <v>32</v>
      </c>
      <c r="F694" t="s">
        <v>36</v>
      </c>
      <c r="G694" t="s">
        <v>33</v>
      </c>
      <c r="H694">
        <v>8</v>
      </c>
      <c r="I694">
        <v>94104</v>
      </c>
      <c r="J694">
        <v>79662.632751342404</v>
      </c>
      <c r="K694" t="str">
        <f>IF(AND(data_tab[[#This Row],[Revenue]]="",data_tab[[#This Row],[Cost]]=""),"Remove",IF(OR(data_tab[[#This Row],[Revenue]]="",data_tab[[#This Row],[Cost]]=""),"Flag","Valid"))</f>
        <v>Valid</v>
      </c>
      <c r="L694" t="str">
        <f>IF((COUNTIFS(data_tab[Revenue],data_tab[[#This Row],[Revenue]],data_tab[Cost],data_tab[[#This Row],[Cost]]))&gt;1,"Duplicate","Unique")</f>
        <v>Unique</v>
      </c>
      <c r="M694">
        <f>data_tab[[#This Row],[Revenue]]-data_tab[[#This Row],[Cost]]</f>
        <v>14441.367248657596</v>
      </c>
      <c r="N694" t="str">
        <f>IF(data_tab[[#This Row],[Revenue]]&lt;0,"Return","Sale")</f>
        <v>Sale</v>
      </c>
    </row>
    <row r="695" spans="1:14" hidden="1">
      <c r="A695" s="1">
        <v>46127</v>
      </c>
      <c r="B695">
        <f>MONTH(data_tab[[#This Row],[Order Date]])</f>
        <v>4</v>
      </c>
      <c r="C695">
        <f>YEAR(data_tab[[#This Row],[Order Date]])</f>
        <v>2026</v>
      </c>
      <c r="D695" t="s">
        <v>35</v>
      </c>
      <c r="E695" t="s">
        <v>32</v>
      </c>
      <c r="F695" t="s">
        <v>24</v>
      </c>
      <c r="G695" t="s">
        <v>41</v>
      </c>
      <c r="H695">
        <v>8</v>
      </c>
      <c r="I695">
        <v>161424</v>
      </c>
      <c r="J695">
        <v>122418.571953495</v>
      </c>
      <c r="K695" t="str">
        <f>IF(AND(data_tab[[#This Row],[Revenue]]="",data_tab[[#This Row],[Cost]]=""),"Remove",IF(OR(data_tab[[#This Row],[Revenue]]="",data_tab[[#This Row],[Cost]]=""),"Flag","Valid"))</f>
        <v>Valid</v>
      </c>
      <c r="L695" t="str">
        <f>IF((COUNTIFS(data_tab[Revenue],data_tab[[#This Row],[Revenue]],data_tab[Cost],data_tab[[#This Row],[Cost]]))&gt;1,"Duplicate","Unique")</f>
        <v>Unique</v>
      </c>
      <c r="M695">
        <f>data_tab[[#This Row],[Revenue]]-data_tab[[#This Row],[Cost]]</f>
        <v>39005.428046504996</v>
      </c>
      <c r="N695" t="str">
        <f>IF(data_tab[[#This Row],[Revenue]]&lt;0,"Return","Sale")</f>
        <v>Sale</v>
      </c>
    </row>
    <row r="696" spans="1:14" hidden="1">
      <c r="A696" s="1">
        <v>46102</v>
      </c>
      <c r="B696">
        <f>MONTH(data_tab[[#This Row],[Order Date]])</f>
        <v>3</v>
      </c>
      <c r="C696">
        <f>YEAR(data_tab[[#This Row],[Order Date]])</f>
        <v>2026</v>
      </c>
      <c r="D696" t="s">
        <v>40</v>
      </c>
      <c r="E696" t="s">
        <v>15</v>
      </c>
      <c r="F696" t="s">
        <v>24</v>
      </c>
      <c r="G696" t="s">
        <v>17</v>
      </c>
      <c r="H696">
        <v>10</v>
      </c>
      <c r="I696">
        <v>375090</v>
      </c>
      <c r="J696">
        <v>274094.10427696601</v>
      </c>
      <c r="K696" t="str">
        <f>IF(AND(data_tab[[#This Row],[Revenue]]="",data_tab[[#This Row],[Cost]]=""),"Remove",IF(OR(data_tab[[#This Row],[Revenue]]="",data_tab[[#This Row],[Cost]]=""),"Flag","Valid"))</f>
        <v>Valid</v>
      </c>
      <c r="L696" t="str">
        <f>IF((COUNTIFS(data_tab[Revenue],data_tab[[#This Row],[Revenue]],data_tab[Cost],data_tab[[#This Row],[Cost]]))&gt;1,"Duplicate","Unique")</f>
        <v>Unique</v>
      </c>
      <c r="M696">
        <f>data_tab[[#This Row],[Revenue]]-data_tab[[#This Row],[Cost]]</f>
        <v>100995.89572303399</v>
      </c>
      <c r="N696" t="str">
        <f>IF(data_tab[[#This Row],[Revenue]]&lt;0,"Return","Sale")</f>
        <v>Sale</v>
      </c>
    </row>
    <row r="697" spans="1:14">
      <c r="A697" s="1">
        <v>46144</v>
      </c>
      <c r="B697">
        <f>MONTH(data_tab[[#This Row],[Order Date]])</f>
        <v>5</v>
      </c>
      <c r="C697">
        <f>YEAR(data_tab[[#This Row],[Order Date]])</f>
        <v>2026</v>
      </c>
      <c r="D697" t="s">
        <v>14</v>
      </c>
      <c r="E697" t="s">
        <v>15</v>
      </c>
      <c r="F697" t="s">
        <v>21</v>
      </c>
      <c r="G697" t="s">
        <v>39</v>
      </c>
      <c r="H697">
        <v>5</v>
      </c>
      <c r="I697">
        <v>77435</v>
      </c>
      <c r="J697">
        <v>46315.010072043799</v>
      </c>
      <c r="K697" t="str">
        <f>IF(AND(data_tab[[#This Row],[Revenue]]="",data_tab[[#This Row],[Cost]]=""),"Remove",IF(OR(data_tab[[#This Row],[Revenue]]="",data_tab[[#This Row],[Cost]]=""),"Flag","Valid"))</f>
        <v>Valid</v>
      </c>
      <c r="L697" t="str">
        <f>IF((COUNTIFS(data_tab[Revenue],data_tab[[#This Row],[Revenue]],data_tab[Cost],data_tab[[#This Row],[Cost]]))&gt;1,"Duplicate","Unique")</f>
        <v>Unique</v>
      </c>
      <c r="M697">
        <f>data_tab[[#This Row],[Revenue]]-data_tab[[#This Row],[Cost]]</f>
        <v>31119.989927956201</v>
      </c>
      <c r="N697" t="str">
        <f>IF(data_tab[[#This Row],[Revenue]]&lt;0,"Return","Sale")</f>
        <v>Sale</v>
      </c>
    </row>
    <row r="698" spans="1:14">
      <c r="A698" s="1">
        <v>46159</v>
      </c>
      <c r="B698">
        <f>MONTH(data_tab[[#This Row],[Order Date]])</f>
        <v>5</v>
      </c>
      <c r="C698">
        <f>YEAR(data_tab[[#This Row],[Order Date]])</f>
        <v>2026</v>
      </c>
      <c r="D698" t="s">
        <v>20</v>
      </c>
      <c r="E698" t="s">
        <v>15</v>
      </c>
      <c r="F698" t="s">
        <v>36</v>
      </c>
      <c r="G698" t="s">
        <v>39</v>
      </c>
      <c r="H698">
        <v>6</v>
      </c>
      <c r="J698">
        <v>105193.836709385</v>
      </c>
      <c r="K698" t="str">
        <f>IF(AND(data_tab[[#This Row],[Revenue]]="",data_tab[[#This Row],[Cost]]=""),"Remove",IF(OR(data_tab[[#This Row],[Revenue]]="",data_tab[[#This Row],[Cost]]=""),"Flag","Valid"))</f>
        <v>Flag</v>
      </c>
      <c r="L698" t="str">
        <f>IF((COUNTIFS(data_tab[Revenue],data_tab[[#This Row],[Revenue]],data_tab[Cost],data_tab[[#This Row],[Cost]]))&gt;1,"Duplicate","Unique")</f>
        <v>Unique</v>
      </c>
      <c r="M698">
        <f>data_tab[[#This Row],[Revenue]]-data_tab[[#This Row],[Cost]]</f>
        <v>-105193.836709385</v>
      </c>
      <c r="N698" t="str">
        <f>IF(data_tab[[#This Row],[Revenue]]&lt;0,"Return","Sale")</f>
        <v>Sale</v>
      </c>
    </row>
    <row r="699" spans="1:14" hidden="1">
      <c r="A699" s="1">
        <v>46046</v>
      </c>
      <c r="B699">
        <f>MONTH(data_tab[[#This Row],[Order Date]])</f>
        <v>1</v>
      </c>
      <c r="C699">
        <f>YEAR(data_tab[[#This Row],[Order Date]])</f>
        <v>2026</v>
      </c>
      <c r="D699" t="s">
        <v>20</v>
      </c>
      <c r="E699" t="s">
        <v>15</v>
      </c>
      <c r="F699" t="s">
        <v>21</v>
      </c>
      <c r="G699" t="s">
        <v>37</v>
      </c>
      <c r="H699">
        <v>3</v>
      </c>
      <c r="I699">
        <v>41913</v>
      </c>
      <c r="J699">
        <v>25240.922727861798</v>
      </c>
      <c r="K699" t="str">
        <f>IF(AND(data_tab[[#This Row],[Revenue]]="",data_tab[[#This Row],[Cost]]=""),"Remove",IF(OR(data_tab[[#This Row],[Revenue]]="",data_tab[[#This Row],[Cost]]=""),"Flag","Valid"))</f>
        <v>Valid</v>
      </c>
      <c r="L699" t="str">
        <f>IF((COUNTIFS(data_tab[Revenue],data_tab[[#This Row],[Revenue]],data_tab[Cost],data_tab[[#This Row],[Cost]]))&gt;1,"Duplicate","Unique")</f>
        <v>Unique</v>
      </c>
      <c r="M699">
        <f>data_tab[[#This Row],[Revenue]]-data_tab[[#This Row],[Cost]]</f>
        <v>16672.077272138202</v>
      </c>
      <c r="N699" t="str">
        <f>IF(data_tab[[#This Row],[Revenue]]&lt;0,"Return","Sale")</f>
        <v>Sale</v>
      </c>
    </row>
    <row r="700" spans="1:14" hidden="1">
      <c r="A700" s="1">
        <v>46066</v>
      </c>
      <c r="B700">
        <f>MONTH(data_tab[[#This Row],[Order Date]])</f>
        <v>2</v>
      </c>
      <c r="C700">
        <f>YEAR(data_tab[[#This Row],[Order Date]])</f>
        <v>2026</v>
      </c>
      <c r="D700" t="s">
        <v>35</v>
      </c>
      <c r="E700" t="s">
        <v>32</v>
      </c>
      <c r="F700" t="s">
        <v>21</v>
      </c>
      <c r="G700" t="s">
        <v>39</v>
      </c>
      <c r="H700">
        <v>1</v>
      </c>
      <c r="I700">
        <v>21531</v>
      </c>
      <c r="J700">
        <v>14123.816769027801</v>
      </c>
      <c r="K700" t="str">
        <f>IF(AND(data_tab[[#This Row],[Revenue]]="",data_tab[[#This Row],[Cost]]=""),"Remove",IF(OR(data_tab[[#This Row],[Revenue]]="",data_tab[[#This Row],[Cost]]=""),"Flag","Valid"))</f>
        <v>Valid</v>
      </c>
      <c r="L700" t="str">
        <f>IF((COUNTIFS(data_tab[Revenue],data_tab[[#This Row],[Revenue]],data_tab[Cost],data_tab[[#This Row],[Cost]]))&gt;1,"Duplicate","Unique")</f>
        <v>Unique</v>
      </c>
      <c r="M700">
        <f>data_tab[[#This Row],[Revenue]]-data_tab[[#This Row],[Cost]]</f>
        <v>7407.1832309721995</v>
      </c>
      <c r="N700" t="str">
        <f>IF(data_tab[[#This Row],[Revenue]]&lt;0,"Return","Sale")</f>
        <v>Sale</v>
      </c>
    </row>
    <row r="701" spans="1:14" hidden="1">
      <c r="A701" s="1">
        <v>46119</v>
      </c>
      <c r="B701">
        <f>MONTH(data_tab[[#This Row],[Order Date]])</f>
        <v>4</v>
      </c>
      <c r="C701">
        <f>YEAR(data_tab[[#This Row],[Order Date]])</f>
        <v>2026</v>
      </c>
      <c r="D701" t="s">
        <v>20</v>
      </c>
      <c r="E701" t="s">
        <v>15</v>
      </c>
      <c r="F701" t="s">
        <v>21</v>
      </c>
      <c r="G701" t="s">
        <v>17</v>
      </c>
      <c r="H701">
        <v>10</v>
      </c>
      <c r="I701">
        <v>404060</v>
      </c>
      <c r="J701">
        <v>240252.640386799</v>
      </c>
      <c r="K701" t="str">
        <f>IF(AND(data_tab[[#This Row],[Revenue]]="",data_tab[[#This Row],[Cost]]=""),"Remove",IF(OR(data_tab[[#This Row],[Revenue]]="",data_tab[[#This Row],[Cost]]=""),"Flag","Valid"))</f>
        <v>Valid</v>
      </c>
      <c r="L701" t="str">
        <f>IF((COUNTIFS(data_tab[Revenue],data_tab[[#This Row],[Revenue]],data_tab[Cost],data_tab[[#This Row],[Cost]]))&gt;1,"Duplicate","Unique")</f>
        <v>Unique</v>
      </c>
      <c r="M701">
        <f>data_tab[[#This Row],[Revenue]]-data_tab[[#This Row],[Cost]]</f>
        <v>163807.359613201</v>
      </c>
      <c r="N701" t="str">
        <f>IF(data_tab[[#This Row],[Revenue]]&lt;0,"Return","Sale")</f>
        <v>Sale</v>
      </c>
    </row>
    <row r="702" spans="1:14" hidden="1">
      <c r="A702" s="1">
        <v>46298</v>
      </c>
      <c r="B702">
        <f>MONTH(data_tab[[#This Row],[Order Date]])</f>
        <v>10</v>
      </c>
      <c r="C702">
        <f>YEAR(data_tab[[#This Row],[Order Date]])</f>
        <v>2026</v>
      </c>
      <c r="D702" t="s">
        <v>29</v>
      </c>
      <c r="E702" t="s">
        <v>15</v>
      </c>
      <c r="F702" t="s">
        <v>36</v>
      </c>
      <c r="G702" t="s">
        <v>39</v>
      </c>
      <c r="H702">
        <v>8</v>
      </c>
      <c r="I702">
        <v>31152</v>
      </c>
      <c r="J702">
        <v>20653.698615241199</v>
      </c>
      <c r="K702" t="str">
        <f>IF(AND(data_tab[[#This Row],[Revenue]]="",data_tab[[#This Row],[Cost]]=""),"Remove",IF(OR(data_tab[[#This Row],[Revenue]]="",data_tab[[#This Row],[Cost]]=""),"Flag","Valid"))</f>
        <v>Valid</v>
      </c>
      <c r="L702" t="str">
        <f>IF((COUNTIFS(data_tab[Revenue],data_tab[[#This Row],[Revenue]],data_tab[Cost],data_tab[[#This Row],[Cost]]))&gt;1,"Duplicate","Unique")</f>
        <v>Unique</v>
      </c>
      <c r="M702">
        <f>data_tab[[#This Row],[Revenue]]-data_tab[[#This Row],[Cost]]</f>
        <v>10498.301384758801</v>
      </c>
      <c r="N702" t="str">
        <f>IF(data_tab[[#This Row],[Revenue]]&lt;0,"Return","Sale")</f>
        <v>Sale</v>
      </c>
    </row>
    <row r="703" spans="1:14">
      <c r="A703" s="1">
        <v>46173</v>
      </c>
      <c r="B703">
        <f>MONTH(data_tab[[#This Row],[Order Date]])</f>
        <v>5</v>
      </c>
      <c r="C703">
        <f>YEAR(data_tab[[#This Row],[Order Date]])</f>
        <v>2026</v>
      </c>
      <c r="D703" t="s">
        <v>40</v>
      </c>
      <c r="E703" t="s">
        <v>15</v>
      </c>
      <c r="F703" t="s">
        <v>21</v>
      </c>
      <c r="G703" t="s">
        <v>37</v>
      </c>
      <c r="H703">
        <v>10</v>
      </c>
      <c r="I703">
        <v>286560</v>
      </c>
      <c r="J703">
        <v>194400.270073547</v>
      </c>
      <c r="K703" t="str">
        <f>IF(AND(data_tab[[#This Row],[Revenue]]="",data_tab[[#This Row],[Cost]]=""),"Remove",IF(OR(data_tab[[#This Row],[Revenue]]="",data_tab[[#This Row],[Cost]]=""),"Flag","Valid"))</f>
        <v>Valid</v>
      </c>
      <c r="L703" t="str">
        <f>IF((COUNTIFS(data_tab[Revenue],data_tab[[#This Row],[Revenue]],data_tab[Cost],data_tab[[#This Row],[Cost]]))&gt;1,"Duplicate","Unique")</f>
        <v>Unique</v>
      </c>
      <c r="M703">
        <f>data_tab[[#This Row],[Revenue]]-data_tab[[#This Row],[Cost]]</f>
        <v>92159.729926453001</v>
      </c>
      <c r="N703" t="str">
        <f>IF(data_tab[[#This Row],[Revenue]]&lt;0,"Return","Sale")</f>
        <v>Sale</v>
      </c>
    </row>
    <row r="704" spans="1:14" hidden="1">
      <c r="A704" s="1">
        <v>46059</v>
      </c>
      <c r="B704">
        <f>MONTH(data_tab[[#This Row],[Order Date]])</f>
        <v>2</v>
      </c>
      <c r="C704">
        <f>YEAR(data_tab[[#This Row],[Order Date]])</f>
        <v>2026</v>
      </c>
      <c r="D704" t="s">
        <v>23</v>
      </c>
      <c r="E704" t="s">
        <v>15</v>
      </c>
      <c r="F704" t="s">
        <v>21</v>
      </c>
      <c r="G704" t="s">
        <v>26</v>
      </c>
      <c r="H704">
        <v>7</v>
      </c>
      <c r="J704">
        <v>182885.53217100599</v>
      </c>
      <c r="K704" t="str">
        <f>IF(AND(data_tab[[#This Row],[Revenue]]="",data_tab[[#This Row],[Cost]]=""),"Remove",IF(OR(data_tab[[#This Row],[Revenue]]="",data_tab[[#This Row],[Cost]]=""),"Flag","Valid"))</f>
        <v>Flag</v>
      </c>
      <c r="L704" t="str">
        <f>IF((COUNTIFS(data_tab[Revenue],data_tab[[#This Row],[Revenue]],data_tab[Cost],data_tab[[#This Row],[Cost]]))&gt;1,"Duplicate","Unique")</f>
        <v>Unique</v>
      </c>
      <c r="M704">
        <f>data_tab[[#This Row],[Revenue]]-data_tab[[#This Row],[Cost]]</f>
        <v>-182885.53217100599</v>
      </c>
      <c r="N704" t="str">
        <f>IF(data_tab[[#This Row],[Revenue]]&lt;0,"Return","Sale")</f>
        <v>Sale</v>
      </c>
    </row>
    <row r="705" spans="1:14" hidden="1">
      <c r="A705" s="1">
        <v>46097</v>
      </c>
      <c r="B705">
        <f>MONTH(data_tab[[#This Row],[Order Date]])</f>
        <v>3</v>
      </c>
      <c r="C705">
        <f>YEAR(data_tab[[#This Row],[Order Date]])</f>
        <v>2026</v>
      </c>
      <c r="D705" t="s">
        <v>20</v>
      </c>
      <c r="E705" t="s">
        <v>15</v>
      </c>
      <c r="F705" t="s">
        <v>36</v>
      </c>
      <c r="G705" t="s">
        <v>37</v>
      </c>
      <c r="H705">
        <v>10</v>
      </c>
      <c r="I705">
        <v>184420</v>
      </c>
      <c r="J705">
        <v>154137.33024860901</v>
      </c>
      <c r="K705" t="str">
        <f>IF(AND(data_tab[[#This Row],[Revenue]]="",data_tab[[#This Row],[Cost]]=""),"Remove",IF(OR(data_tab[[#This Row],[Revenue]]="",data_tab[[#This Row],[Cost]]=""),"Flag","Valid"))</f>
        <v>Valid</v>
      </c>
      <c r="L705" t="str">
        <f>IF((COUNTIFS(data_tab[Revenue],data_tab[[#This Row],[Revenue]],data_tab[Cost],data_tab[[#This Row],[Cost]]))&gt;1,"Duplicate","Unique")</f>
        <v>Unique</v>
      </c>
      <c r="M705">
        <f>data_tab[[#This Row],[Revenue]]-data_tab[[#This Row],[Cost]]</f>
        <v>30282.669751390989</v>
      </c>
      <c r="N705" t="str">
        <f>IF(data_tab[[#This Row],[Revenue]]&lt;0,"Return","Sale")</f>
        <v>Sale</v>
      </c>
    </row>
    <row r="706" spans="1:14">
      <c r="A706" s="1">
        <v>46172</v>
      </c>
      <c r="B706">
        <f>MONTH(data_tab[[#This Row],[Order Date]])</f>
        <v>5</v>
      </c>
      <c r="C706">
        <f>YEAR(data_tab[[#This Row],[Order Date]])</f>
        <v>2026</v>
      </c>
      <c r="D706" t="s">
        <v>31</v>
      </c>
      <c r="E706" t="s">
        <v>32</v>
      </c>
      <c r="F706" t="s">
        <v>24</v>
      </c>
      <c r="G706" t="s">
        <v>37</v>
      </c>
      <c r="H706">
        <v>2</v>
      </c>
      <c r="I706">
        <v>55812</v>
      </c>
      <c r="J706">
        <v>43498.294654260797</v>
      </c>
      <c r="K706" t="str">
        <f>IF(AND(data_tab[[#This Row],[Revenue]]="",data_tab[[#This Row],[Cost]]=""),"Remove",IF(OR(data_tab[[#This Row],[Revenue]]="",data_tab[[#This Row],[Cost]]=""),"Flag","Valid"))</f>
        <v>Valid</v>
      </c>
      <c r="L706" t="str">
        <f>IF((COUNTIFS(data_tab[Revenue],data_tab[[#This Row],[Revenue]],data_tab[Cost],data_tab[[#This Row],[Cost]]))&gt;1,"Duplicate","Unique")</f>
        <v>Unique</v>
      </c>
      <c r="M706">
        <f>data_tab[[#This Row],[Revenue]]-data_tab[[#This Row],[Cost]]</f>
        <v>12313.705345739203</v>
      </c>
      <c r="N706" t="str">
        <f>IF(data_tab[[#This Row],[Revenue]]&lt;0,"Return","Sale")</f>
        <v>Sale</v>
      </c>
    </row>
    <row r="707" spans="1:14" hidden="1">
      <c r="A707" s="1">
        <v>46133</v>
      </c>
      <c r="B707">
        <f>MONTH(data_tab[[#This Row],[Order Date]])</f>
        <v>4</v>
      </c>
      <c r="C707">
        <f>YEAR(data_tab[[#This Row],[Order Date]])</f>
        <v>2026</v>
      </c>
      <c r="D707" t="s">
        <v>23</v>
      </c>
      <c r="E707" t="s">
        <v>15</v>
      </c>
      <c r="F707" t="s">
        <v>16</v>
      </c>
      <c r="G707" t="s">
        <v>41</v>
      </c>
      <c r="H707">
        <v>6</v>
      </c>
      <c r="I707">
        <v>261756</v>
      </c>
      <c r="J707">
        <v>158243.075110562</v>
      </c>
      <c r="K707" t="str">
        <f>IF(AND(data_tab[[#This Row],[Revenue]]="",data_tab[[#This Row],[Cost]]=""),"Remove",IF(OR(data_tab[[#This Row],[Revenue]]="",data_tab[[#This Row],[Cost]]=""),"Flag","Valid"))</f>
        <v>Valid</v>
      </c>
      <c r="L707" t="str">
        <f>IF((COUNTIFS(data_tab[Revenue],data_tab[[#This Row],[Revenue]],data_tab[Cost],data_tab[[#This Row],[Cost]]))&gt;1,"Duplicate","Unique")</f>
        <v>Unique</v>
      </c>
      <c r="M707">
        <f>data_tab[[#This Row],[Revenue]]-data_tab[[#This Row],[Cost]]</f>
        <v>103512.924889438</v>
      </c>
      <c r="N707" t="str">
        <f>IF(data_tab[[#This Row],[Revenue]]&lt;0,"Return","Sale")</f>
        <v>Sale</v>
      </c>
    </row>
    <row r="708" spans="1:14" hidden="1">
      <c r="A708" s="1">
        <v>46105</v>
      </c>
      <c r="B708">
        <f>MONTH(data_tab[[#This Row],[Order Date]])</f>
        <v>3</v>
      </c>
      <c r="C708">
        <f>YEAR(data_tab[[#This Row],[Order Date]])</f>
        <v>2026</v>
      </c>
      <c r="D708" t="s">
        <v>40</v>
      </c>
      <c r="E708" t="s">
        <v>15</v>
      </c>
      <c r="F708" t="s">
        <v>16</v>
      </c>
      <c r="G708" t="s">
        <v>39</v>
      </c>
      <c r="H708">
        <v>3</v>
      </c>
      <c r="I708">
        <v>-133095</v>
      </c>
      <c r="K708" t="str">
        <f>IF(AND(data_tab[[#This Row],[Revenue]]="",data_tab[[#This Row],[Cost]]=""),"Remove",IF(OR(data_tab[[#This Row],[Revenue]]="",data_tab[[#This Row],[Cost]]=""),"Flag","Valid"))</f>
        <v>Flag</v>
      </c>
      <c r="L708" t="str">
        <f>IF((COUNTIFS(data_tab[Revenue],data_tab[[#This Row],[Revenue]],data_tab[Cost],data_tab[[#This Row],[Cost]]))&gt;1,"Duplicate","Unique")</f>
        <v>Unique</v>
      </c>
      <c r="M708">
        <f>data_tab[[#This Row],[Revenue]]-data_tab[[#This Row],[Cost]]</f>
        <v>-133095</v>
      </c>
      <c r="N708" t="str">
        <f>IF(data_tab[[#This Row],[Revenue]]&lt;0,"Return","Sale")</f>
        <v>Return</v>
      </c>
    </row>
    <row r="709" spans="1:14" hidden="1">
      <c r="A709" s="1">
        <v>46067</v>
      </c>
      <c r="B709">
        <f>MONTH(data_tab[[#This Row],[Order Date]])</f>
        <v>2</v>
      </c>
      <c r="C709">
        <f>YEAR(data_tab[[#This Row],[Order Date]])</f>
        <v>2026</v>
      </c>
      <c r="D709" t="s">
        <v>14</v>
      </c>
      <c r="E709" t="s">
        <v>15</v>
      </c>
      <c r="F709" t="s">
        <v>36</v>
      </c>
      <c r="G709" t="s">
        <v>33</v>
      </c>
      <c r="H709">
        <v>9</v>
      </c>
      <c r="I709">
        <v>65862</v>
      </c>
      <c r="J709">
        <v>53672.398953558601</v>
      </c>
      <c r="K709" t="str">
        <f>IF(AND(data_tab[[#This Row],[Revenue]]="",data_tab[[#This Row],[Cost]]=""),"Remove",IF(OR(data_tab[[#This Row],[Revenue]]="",data_tab[[#This Row],[Cost]]=""),"Flag","Valid"))</f>
        <v>Valid</v>
      </c>
      <c r="L709" t="str">
        <f>IF((COUNTIFS(data_tab[Revenue],data_tab[[#This Row],[Revenue]],data_tab[Cost],data_tab[[#This Row],[Cost]]))&gt;1,"Duplicate","Unique")</f>
        <v>Unique</v>
      </c>
      <c r="M709">
        <f>data_tab[[#This Row],[Revenue]]-data_tab[[#This Row],[Cost]]</f>
        <v>12189.601046441399</v>
      </c>
      <c r="N709" t="str">
        <f>IF(data_tab[[#This Row],[Revenue]]&lt;0,"Return","Sale")</f>
        <v>Sale</v>
      </c>
    </row>
    <row r="710" spans="1:14" hidden="1">
      <c r="A710" s="1">
        <v>46194</v>
      </c>
      <c r="B710">
        <f>MONTH(data_tab[[#This Row],[Order Date]])</f>
        <v>6</v>
      </c>
      <c r="C710">
        <f>YEAR(data_tab[[#This Row],[Order Date]])</f>
        <v>2026</v>
      </c>
      <c r="D710" t="s">
        <v>23</v>
      </c>
      <c r="E710" t="s">
        <v>15</v>
      </c>
      <c r="F710" t="s">
        <v>36</v>
      </c>
      <c r="G710" t="s">
        <v>26</v>
      </c>
      <c r="H710">
        <v>6</v>
      </c>
      <c r="I710">
        <v>-164076</v>
      </c>
      <c r="J710">
        <v>93666.829855607997</v>
      </c>
      <c r="K710" t="str">
        <f>IF(AND(data_tab[[#This Row],[Revenue]]="",data_tab[[#This Row],[Cost]]=""),"Remove",IF(OR(data_tab[[#This Row],[Revenue]]="",data_tab[[#This Row],[Cost]]=""),"Flag","Valid"))</f>
        <v>Valid</v>
      </c>
      <c r="L710" t="str">
        <f>IF((COUNTIFS(data_tab[Revenue],data_tab[[#This Row],[Revenue]],data_tab[Cost],data_tab[[#This Row],[Cost]]))&gt;1,"Duplicate","Unique")</f>
        <v>Unique</v>
      </c>
      <c r="M710">
        <f>data_tab[[#This Row],[Revenue]]-data_tab[[#This Row],[Cost]]</f>
        <v>-257742.829855608</v>
      </c>
      <c r="N710" t="str">
        <f>IF(data_tab[[#This Row],[Revenue]]&lt;0,"Return","Sale")</f>
        <v>Return</v>
      </c>
    </row>
    <row r="711" spans="1:14" hidden="1">
      <c r="A711" s="1">
        <v>46141</v>
      </c>
      <c r="B711">
        <f>MONTH(data_tab[[#This Row],[Order Date]])</f>
        <v>4</v>
      </c>
      <c r="C711">
        <f>YEAR(data_tab[[#This Row],[Order Date]])</f>
        <v>2026</v>
      </c>
      <c r="D711" t="s">
        <v>20</v>
      </c>
      <c r="E711" t="s">
        <v>15</v>
      </c>
      <c r="F711" t="s">
        <v>21</v>
      </c>
      <c r="G711" t="s">
        <v>41</v>
      </c>
      <c r="H711">
        <v>1</v>
      </c>
      <c r="I711">
        <v>20424</v>
      </c>
      <c r="J711">
        <v>15771.8568350393</v>
      </c>
      <c r="K711" t="str">
        <f>IF(AND(data_tab[[#This Row],[Revenue]]="",data_tab[[#This Row],[Cost]]=""),"Remove",IF(OR(data_tab[[#This Row],[Revenue]]="",data_tab[[#This Row],[Cost]]=""),"Flag","Valid"))</f>
        <v>Valid</v>
      </c>
      <c r="L711" t="str">
        <f>IF((COUNTIFS(data_tab[Revenue],data_tab[[#This Row],[Revenue]],data_tab[Cost],data_tab[[#This Row],[Cost]]))&gt;1,"Duplicate","Unique")</f>
        <v>Unique</v>
      </c>
      <c r="M711">
        <f>data_tab[[#This Row],[Revenue]]-data_tab[[#This Row],[Cost]]</f>
        <v>4652.1431649607002</v>
      </c>
      <c r="N711" t="str">
        <f>IF(data_tab[[#This Row],[Revenue]]&lt;0,"Return","Sale")</f>
        <v>Sale</v>
      </c>
    </row>
    <row r="712" spans="1:14" hidden="1">
      <c r="A712" s="1">
        <v>46183</v>
      </c>
      <c r="B712">
        <f>MONTH(data_tab[[#This Row],[Order Date]])</f>
        <v>6</v>
      </c>
      <c r="C712">
        <f>YEAR(data_tab[[#This Row],[Order Date]])</f>
        <v>2026</v>
      </c>
      <c r="D712" t="s">
        <v>31</v>
      </c>
      <c r="E712" t="s">
        <v>32</v>
      </c>
      <c r="F712" t="s">
        <v>36</v>
      </c>
      <c r="G712" t="s">
        <v>37</v>
      </c>
      <c r="H712">
        <v>1</v>
      </c>
      <c r="I712">
        <v>-20399</v>
      </c>
      <c r="J712">
        <v>14220.8599278689</v>
      </c>
      <c r="K712" t="str">
        <f>IF(AND(data_tab[[#This Row],[Revenue]]="",data_tab[[#This Row],[Cost]]=""),"Remove",IF(OR(data_tab[[#This Row],[Revenue]]="",data_tab[[#This Row],[Cost]]=""),"Flag","Valid"))</f>
        <v>Valid</v>
      </c>
      <c r="L712" t="str">
        <f>IF((COUNTIFS(data_tab[Revenue],data_tab[[#This Row],[Revenue]],data_tab[Cost],data_tab[[#This Row],[Cost]]))&gt;1,"Duplicate","Unique")</f>
        <v>Unique</v>
      </c>
      <c r="M712">
        <f>data_tab[[#This Row],[Revenue]]-data_tab[[#This Row],[Cost]]</f>
        <v>-34619.8599278689</v>
      </c>
      <c r="N712" t="str">
        <f>IF(data_tab[[#This Row],[Revenue]]&lt;0,"Return","Sale")</f>
        <v>Return</v>
      </c>
    </row>
    <row r="713" spans="1:14" hidden="1">
      <c r="A713" s="1">
        <v>46186</v>
      </c>
      <c r="B713">
        <f>MONTH(data_tab[[#This Row],[Order Date]])</f>
        <v>6</v>
      </c>
      <c r="C713">
        <f>YEAR(data_tab[[#This Row],[Order Date]])</f>
        <v>2026</v>
      </c>
      <c r="D713" t="s">
        <v>40</v>
      </c>
      <c r="E713" t="s">
        <v>15</v>
      </c>
      <c r="F713" t="s">
        <v>36</v>
      </c>
      <c r="G713" t="s">
        <v>17</v>
      </c>
      <c r="H713">
        <v>9</v>
      </c>
      <c r="I713">
        <v>132282</v>
      </c>
      <c r="J713">
        <v>101054.898412579</v>
      </c>
      <c r="K713" t="str">
        <f>IF(AND(data_tab[[#This Row],[Revenue]]="",data_tab[[#This Row],[Cost]]=""),"Remove",IF(OR(data_tab[[#This Row],[Revenue]]="",data_tab[[#This Row],[Cost]]=""),"Flag","Valid"))</f>
        <v>Valid</v>
      </c>
      <c r="L713" t="str">
        <f>IF((COUNTIFS(data_tab[Revenue],data_tab[[#This Row],[Revenue]],data_tab[Cost],data_tab[[#This Row],[Cost]]))&gt;1,"Duplicate","Unique")</f>
        <v>Unique</v>
      </c>
      <c r="M713">
        <f>data_tab[[#This Row],[Revenue]]-data_tab[[#This Row],[Cost]]</f>
        <v>31227.101587420999</v>
      </c>
      <c r="N713" t="str">
        <f>IF(data_tab[[#This Row],[Revenue]]&lt;0,"Return","Sale")</f>
        <v>Sale</v>
      </c>
    </row>
    <row r="714" spans="1:14" hidden="1">
      <c r="A714" s="1">
        <v>46039</v>
      </c>
      <c r="B714">
        <f>MONTH(data_tab[[#This Row],[Order Date]])</f>
        <v>1</v>
      </c>
      <c r="C714">
        <f>YEAR(data_tab[[#This Row],[Order Date]])</f>
        <v>2026</v>
      </c>
      <c r="D714" t="s">
        <v>31</v>
      </c>
      <c r="E714" t="s">
        <v>32</v>
      </c>
      <c r="F714" t="s">
        <v>16</v>
      </c>
      <c r="G714" t="s">
        <v>26</v>
      </c>
      <c r="H714">
        <v>4</v>
      </c>
      <c r="I714">
        <v>-145120</v>
      </c>
      <c r="J714">
        <v>114871.121393443</v>
      </c>
      <c r="K714" t="str">
        <f>IF(AND(data_tab[[#This Row],[Revenue]]="",data_tab[[#This Row],[Cost]]=""),"Remove",IF(OR(data_tab[[#This Row],[Revenue]]="",data_tab[[#This Row],[Cost]]=""),"Flag","Valid"))</f>
        <v>Valid</v>
      </c>
      <c r="L714" t="str">
        <f>IF((COUNTIFS(data_tab[Revenue],data_tab[[#This Row],[Revenue]],data_tab[Cost],data_tab[[#This Row],[Cost]]))&gt;1,"Duplicate","Unique")</f>
        <v>Unique</v>
      </c>
      <c r="M714">
        <f>data_tab[[#This Row],[Revenue]]-data_tab[[#This Row],[Cost]]</f>
        <v>-259991.121393443</v>
      </c>
      <c r="N714" t="str">
        <f>IF(data_tab[[#This Row],[Revenue]]&lt;0,"Return","Sale")</f>
        <v>Return</v>
      </c>
    </row>
    <row r="715" spans="1:14" hidden="1">
      <c r="A715" s="1">
        <v>46200</v>
      </c>
      <c r="B715">
        <f>MONTH(data_tab[[#This Row],[Order Date]])</f>
        <v>6</v>
      </c>
      <c r="C715">
        <f>YEAR(data_tab[[#This Row],[Order Date]])</f>
        <v>2026</v>
      </c>
      <c r="D715" t="s">
        <v>14</v>
      </c>
      <c r="E715" t="s">
        <v>15</v>
      </c>
      <c r="F715" t="s">
        <v>36</v>
      </c>
      <c r="G715" t="s">
        <v>39</v>
      </c>
      <c r="H715">
        <v>7</v>
      </c>
      <c r="I715">
        <v>308042</v>
      </c>
      <c r="J715">
        <v>236958.20166466301</v>
      </c>
      <c r="K715" t="str">
        <f>IF(AND(data_tab[[#This Row],[Revenue]]="",data_tab[[#This Row],[Cost]]=""),"Remove",IF(OR(data_tab[[#This Row],[Revenue]]="",data_tab[[#This Row],[Cost]]=""),"Flag","Valid"))</f>
        <v>Valid</v>
      </c>
      <c r="L715" t="str">
        <f>IF((COUNTIFS(data_tab[Revenue],data_tab[[#This Row],[Revenue]],data_tab[Cost],data_tab[[#This Row],[Cost]]))&gt;1,"Duplicate","Unique")</f>
        <v>Unique</v>
      </c>
      <c r="M715">
        <f>data_tab[[#This Row],[Revenue]]-data_tab[[#This Row],[Cost]]</f>
        <v>71083.798335336993</v>
      </c>
      <c r="N715" t="str">
        <f>IF(data_tab[[#This Row],[Revenue]]&lt;0,"Return","Sale")</f>
        <v>Sale</v>
      </c>
    </row>
    <row r="716" spans="1:14" hidden="1">
      <c r="A716" s="1">
        <v>46127</v>
      </c>
      <c r="B716">
        <f>MONTH(data_tab[[#This Row],[Order Date]])</f>
        <v>4</v>
      </c>
      <c r="C716">
        <f>YEAR(data_tab[[#This Row],[Order Date]])</f>
        <v>2026</v>
      </c>
      <c r="D716" t="s">
        <v>29</v>
      </c>
      <c r="E716" t="s">
        <v>15</v>
      </c>
      <c r="F716" t="s">
        <v>36</v>
      </c>
      <c r="G716" t="s">
        <v>37</v>
      </c>
      <c r="H716">
        <v>9</v>
      </c>
      <c r="I716">
        <v>43632</v>
      </c>
      <c r="J716">
        <v>37240.827253902797</v>
      </c>
      <c r="K716" t="str">
        <f>IF(AND(data_tab[[#This Row],[Revenue]]="",data_tab[[#This Row],[Cost]]=""),"Remove",IF(OR(data_tab[[#This Row],[Revenue]]="",data_tab[[#This Row],[Cost]]=""),"Flag","Valid"))</f>
        <v>Valid</v>
      </c>
      <c r="L716" t="str">
        <f>IF((COUNTIFS(data_tab[Revenue],data_tab[[#This Row],[Revenue]],data_tab[Cost],data_tab[[#This Row],[Cost]]))&gt;1,"Duplicate","Unique")</f>
        <v>Unique</v>
      </c>
      <c r="M716">
        <f>data_tab[[#This Row],[Revenue]]-data_tab[[#This Row],[Cost]]</f>
        <v>6391.1727460972033</v>
      </c>
      <c r="N716" t="str">
        <f>IF(data_tab[[#This Row],[Revenue]]&lt;0,"Return","Sale")</f>
        <v>Sale</v>
      </c>
    </row>
    <row r="717" spans="1:14" hidden="1">
      <c r="A717" s="1">
        <v>46137</v>
      </c>
      <c r="B717">
        <f>MONTH(data_tab[[#This Row],[Order Date]])</f>
        <v>4</v>
      </c>
      <c r="C717">
        <f>YEAR(data_tab[[#This Row],[Order Date]])</f>
        <v>2026</v>
      </c>
      <c r="D717" t="s">
        <v>35</v>
      </c>
      <c r="E717" t="s">
        <v>32</v>
      </c>
      <c r="F717" t="s">
        <v>24</v>
      </c>
      <c r="G717" t="s">
        <v>26</v>
      </c>
      <c r="H717">
        <v>1</v>
      </c>
      <c r="I717">
        <v>16786</v>
      </c>
      <c r="J717">
        <v>14960.3251712166</v>
      </c>
      <c r="K717" t="str">
        <f>IF(AND(data_tab[[#This Row],[Revenue]]="",data_tab[[#This Row],[Cost]]=""),"Remove",IF(OR(data_tab[[#This Row],[Revenue]]="",data_tab[[#This Row],[Cost]]=""),"Flag","Valid"))</f>
        <v>Valid</v>
      </c>
      <c r="L717" t="str">
        <f>IF((COUNTIFS(data_tab[Revenue],data_tab[[#This Row],[Revenue]],data_tab[Cost],data_tab[[#This Row],[Cost]]))&gt;1,"Duplicate","Unique")</f>
        <v>Unique</v>
      </c>
      <c r="M717">
        <f>data_tab[[#This Row],[Revenue]]-data_tab[[#This Row],[Cost]]</f>
        <v>1825.6748287833998</v>
      </c>
      <c r="N717" t="str">
        <f>IF(data_tab[[#This Row],[Revenue]]&lt;0,"Return","Sale")</f>
        <v>Sale</v>
      </c>
    </row>
    <row r="718" spans="1:14" hidden="1">
      <c r="A718" s="1">
        <v>46065</v>
      </c>
      <c r="B718">
        <f>MONTH(data_tab[[#This Row],[Order Date]])</f>
        <v>2</v>
      </c>
      <c r="C718">
        <f>YEAR(data_tab[[#This Row],[Order Date]])</f>
        <v>2026</v>
      </c>
      <c r="D718" t="s">
        <v>14</v>
      </c>
      <c r="E718" t="s">
        <v>15</v>
      </c>
      <c r="F718" t="s">
        <v>24</v>
      </c>
      <c r="G718" t="s">
        <v>39</v>
      </c>
      <c r="H718">
        <v>8</v>
      </c>
      <c r="I718">
        <v>242464</v>
      </c>
      <c r="J718">
        <v>199602.094143202</v>
      </c>
      <c r="K718" t="str">
        <f>IF(AND(data_tab[[#This Row],[Revenue]]="",data_tab[[#This Row],[Cost]]=""),"Remove",IF(OR(data_tab[[#This Row],[Revenue]]="",data_tab[[#This Row],[Cost]]=""),"Flag","Valid"))</f>
        <v>Valid</v>
      </c>
      <c r="L718" t="str">
        <f>IF((COUNTIFS(data_tab[Revenue],data_tab[[#This Row],[Revenue]],data_tab[Cost],data_tab[[#This Row],[Cost]]))&gt;1,"Duplicate","Unique")</f>
        <v>Unique</v>
      </c>
      <c r="M718">
        <f>data_tab[[#This Row],[Revenue]]-data_tab[[#This Row],[Cost]]</f>
        <v>42861.905856797996</v>
      </c>
      <c r="N718" t="str">
        <f>IF(data_tab[[#This Row],[Revenue]]&lt;0,"Return","Sale")</f>
        <v>Sale</v>
      </c>
    </row>
    <row r="719" spans="1:14" hidden="1">
      <c r="A719" s="1">
        <v>46087</v>
      </c>
      <c r="B719">
        <f>MONTH(data_tab[[#This Row],[Order Date]])</f>
        <v>3</v>
      </c>
      <c r="C719">
        <f>YEAR(data_tab[[#This Row],[Order Date]])</f>
        <v>2026</v>
      </c>
      <c r="D719" t="s">
        <v>35</v>
      </c>
      <c r="E719" t="s">
        <v>32</v>
      </c>
      <c r="F719" t="s">
        <v>24</v>
      </c>
      <c r="G719" t="s">
        <v>37</v>
      </c>
      <c r="H719">
        <v>9</v>
      </c>
      <c r="I719">
        <v>157635</v>
      </c>
      <c r="J719">
        <v>138311.948933343</v>
      </c>
      <c r="K719" t="str">
        <f>IF(AND(data_tab[[#This Row],[Revenue]]="",data_tab[[#This Row],[Cost]]=""),"Remove",IF(OR(data_tab[[#This Row],[Revenue]]="",data_tab[[#This Row],[Cost]]=""),"Flag","Valid"))</f>
        <v>Valid</v>
      </c>
      <c r="L719" t="str">
        <f>IF((COUNTIFS(data_tab[Revenue],data_tab[[#This Row],[Revenue]],data_tab[Cost],data_tab[[#This Row],[Cost]]))&gt;1,"Duplicate","Unique")</f>
        <v>Unique</v>
      </c>
      <c r="M719">
        <f>data_tab[[#This Row],[Revenue]]-data_tab[[#This Row],[Cost]]</f>
        <v>19323.051066657004</v>
      </c>
      <c r="N719" t="str">
        <f>IF(data_tab[[#This Row],[Revenue]]&lt;0,"Return","Sale")</f>
        <v>Sale</v>
      </c>
    </row>
    <row r="720" spans="1:14" hidden="1">
      <c r="A720" s="1">
        <v>46183</v>
      </c>
      <c r="B720">
        <f>MONTH(data_tab[[#This Row],[Order Date]])</f>
        <v>6</v>
      </c>
      <c r="C720">
        <f>YEAR(data_tab[[#This Row],[Order Date]])</f>
        <v>2026</v>
      </c>
      <c r="D720" t="s">
        <v>20</v>
      </c>
      <c r="E720" t="s">
        <v>15</v>
      </c>
      <c r="F720" t="s">
        <v>24</v>
      </c>
      <c r="G720" t="s">
        <v>33</v>
      </c>
      <c r="H720">
        <v>6</v>
      </c>
      <c r="I720">
        <v>284640</v>
      </c>
      <c r="J720">
        <v>149723.85287920301</v>
      </c>
      <c r="K720" t="str">
        <f>IF(AND(data_tab[[#This Row],[Revenue]]="",data_tab[[#This Row],[Cost]]=""),"Remove",IF(OR(data_tab[[#This Row],[Revenue]]="",data_tab[[#This Row],[Cost]]=""),"Flag","Valid"))</f>
        <v>Valid</v>
      </c>
      <c r="L720" t="str">
        <f>IF((COUNTIFS(data_tab[Revenue],data_tab[[#This Row],[Revenue]],data_tab[Cost],data_tab[[#This Row],[Cost]]))&gt;1,"Duplicate","Unique")</f>
        <v>Unique</v>
      </c>
      <c r="M720">
        <f>data_tab[[#This Row],[Revenue]]-data_tab[[#This Row],[Cost]]</f>
        <v>134916.14712079699</v>
      </c>
      <c r="N720" t="str">
        <f>IF(data_tab[[#This Row],[Revenue]]&lt;0,"Return","Sale")</f>
        <v>Sale</v>
      </c>
    </row>
    <row r="721" spans="1:14" hidden="1">
      <c r="A721" s="1">
        <v>46100</v>
      </c>
      <c r="B721">
        <f>MONTH(data_tab[[#This Row],[Order Date]])</f>
        <v>3</v>
      </c>
      <c r="C721">
        <f>YEAR(data_tab[[#This Row],[Order Date]])</f>
        <v>2026</v>
      </c>
      <c r="D721" t="s">
        <v>20</v>
      </c>
      <c r="E721" t="s">
        <v>15</v>
      </c>
      <c r="F721" t="s">
        <v>24</v>
      </c>
      <c r="G721" t="s">
        <v>26</v>
      </c>
      <c r="H721">
        <v>1</v>
      </c>
      <c r="I721">
        <v>21327</v>
      </c>
      <c r="J721">
        <v>17914.0769852468</v>
      </c>
      <c r="K721" t="str">
        <f>IF(AND(data_tab[[#This Row],[Revenue]]="",data_tab[[#This Row],[Cost]]=""),"Remove",IF(OR(data_tab[[#This Row],[Revenue]]="",data_tab[[#This Row],[Cost]]=""),"Flag","Valid"))</f>
        <v>Valid</v>
      </c>
      <c r="L721" t="str">
        <f>IF((COUNTIFS(data_tab[Revenue],data_tab[[#This Row],[Revenue]],data_tab[Cost],data_tab[[#This Row],[Cost]]))&gt;1,"Duplicate","Unique")</f>
        <v>Unique</v>
      </c>
      <c r="M721">
        <f>data_tab[[#This Row],[Revenue]]-data_tab[[#This Row],[Cost]]</f>
        <v>3412.9230147531998</v>
      </c>
      <c r="N721" t="str">
        <f>IF(data_tab[[#This Row],[Revenue]]&lt;0,"Return","Sale")</f>
        <v>Sale</v>
      </c>
    </row>
    <row r="722" spans="1:14" hidden="1">
      <c r="A722" s="1">
        <v>46176</v>
      </c>
      <c r="B722">
        <f>MONTH(data_tab[[#This Row],[Order Date]])</f>
        <v>6</v>
      </c>
      <c r="C722">
        <f>YEAR(data_tab[[#This Row],[Order Date]])</f>
        <v>2026</v>
      </c>
      <c r="D722" t="s">
        <v>29</v>
      </c>
      <c r="E722" t="s">
        <v>15</v>
      </c>
      <c r="F722" t="s">
        <v>36</v>
      </c>
      <c r="G722" t="s">
        <v>33</v>
      </c>
      <c r="H722">
        <v>7</v>
      </c>
      <c r="I722">
        <v>298522</v>
      </c>
      <c r="J722">
        <v>223202.57740780601</v>
      </c>
      <c r="K722" t="str">
        <f>IF(AND(data_tab[[#This Row],[Revenue]]="",data_tab[[#This Row],[Cost]]=""),"Remove",IF(OR(data_tab[[#This Row],[Revenue]]="",data_tab[[#This Row],[Cost]]=""),"Flag","Valid"))</f>
        <v>Valid</v>
      </c>
      <c r="L722" t="str">
        <f>IF((COUNTIFS(data_tab[Revenue],data_tab[[#This Row],[Revenue]],data_tab[Cost],data_tab[[#This Row],[Cost]]))&gt;1,"Duplicate","Unique")</f>
        <v>Unique</v>
      </c>
      <c r="M722">
        <f>data_tab[[#This Row],[Revenue]]-data_tab[[#This Row],[Cost]]</f>
        <v>75319.422592193994</v>
      </c>
      <c r="N722" t="str">
        <f>IF(data_tab[[#This Row],[Revenue]]&lt;0,"Return","Sale")</f>
        <v>Sale</v>
      </c>
    </row>
    <row r="723" spans="1:14" hidden="1">
      <c r="A723" s="1">
        <v>46139</v>
      </c>
      <c r="B723">
        <f>MONTH(data_tab[[#This Row],[Order Date]])</f>
        <v>4</v>
      </c>
      <c r="C723">
        <f>YEAR(data_tab[[#This Row],[Order Date]])</f>
        <v>2026</v>
      </c>
      <c r="D723" t="s">
        <v>20</v>
      </c>
      <c r="E723" t="s">
        <v>15</v>
      </c>
      <c r="F723" t="s">
        <v>24</v>
      </c>
      <c r="G723" t="s">
        <v>39</v>
      </c>
      <c r="H723">
        <v>10</v>
      </c>
      <c r="I723">
        <v>487460</v>
      </c>
      <c r="J723">
        <v>256900.09136053399</v>
      </c>
      <c r="K723" t="str">
        <f>IF(AND(data_tab[[#This Row],[Revenue]]="",data_tab[[#This Row],[Cost]]=""),"Remove",IF(OR(data_tab[[#This Row],[Revenue]]="",data_tab[[#This Row],[Cost]]=""),"Flag","Valid"))</f>
        <v>Valid</v>
      </c>
      <c r="L723" t="str">
        <f>IF((COUNTIFS(data_tab[Revenue],data_tab[[#This Row],[Revenue]],data_tab[Cost],data_tab[[#This Row],[Cost]]))&gt;1,"Duplicate","Unique")</f>
        <v>Unique</v>
      </c>
      <c r="M723">
        <f>data_tab[[#This Row],[Revenue]]-data_tab[[#This Row],[Cost]]</f>
        <v>230559.90863946601</v>
      </c>
      <c r="N723" t="str">
        <f>IF(data_tab[[#This Row],[Revenue]]&lt;0,"Return","Sale")</f>
        <v>Sale</v>
      </c>
    </row>
    <row r="724" spans="1:14" hidden="1">
      <c r="A724" s="1">
        <v>46186</v>
      </c>
      <c r="B724">
        <f>MONTH(data_tab[[#This Row],[Order Date]])</f>
        <v>6</v>
      </c>
      <c r="C724">
        <f>YEAR(data_tab[[#This Row],[Order Date]])</f>
        <v>2026</v>
      </c>
      <c r="D724" t="s">
        <v>29</v>
      </c>
      <c r="E724" t="s">
        <v>15</v>
      </c>
      <c r="F724" t="s">
        <v>36</v>
      </c>
      <c r="G724" t="s">
        <v>17</v>
      </c>
      <c r="H724">
        <v>4</v>
      </c>
      <c r="I724">
        <v>44088</v>
      </c>
      <c r="J724">
        <v>36099.705579182402</v>
      </c>
      <c r="K724" t="str">
        <f>IF(AND(data_tab[[#This Row],[Revenue]]="",data_tab[[#This Row],[Cost]]=""),"Remove",IF(OR(data_tab[[#This Row],[Revenue]]="",data_tab[[#This Row],[Cost]]=""),"Flag","Valid"))</f>
        <v>Valid</v>
      </c>
      <c r="L724" t="str">
        <f>IF((COUNTIFS(data_tab[Revenue],data_tab[[#This Row],[Revenue]],data_tab[Cost],data_tab[[#This Row],[Cost]]))&gt;1,"Duplicate","Unique")</f>
        <v>Unique</v>
      </c>
      <c r="M724">
        <f>data_tab[[#This Row],[Revenue]]-data_tab[[#This Row],[Cost]]</f>
        <v>7988.2944208175977</v>
      </c>
      <c r="N724" t="str">
        <f>IF(data_tab[[#This Row],[Revenue]]&lt;0,"Return","Sale")</f>
        <v>Sale</v>
      </c>
    </row>
    <row r="725" spans="1:14" hidden="1">
      <c r="A725" s="1">
        <v>46189</v>
      </c>
      <c r="B725">
        <f>MONTH(data_tab[[#This Row],[Order Date]])</f>
        <v>6</v>
      </c>
      <c r="C725">
        <f>YEAR(data_tab[[#This Row],[Order Date]])</f>
        <v>2026</v>
      </c>
      <c r="D725" t="s">
        <v>40</v>
      </c>
      <c r="E725" t="s">
        <v>15</v>
      </c>
      <c r="F725" t="s">
        <v>21</v>
      </c>
      <c r="G725" t="s">
        <v>17</v>
      </c>
      <c r="H725">
        <v>8</v>
      </c>
      <c r="I725">
        <v>177832</v>
      </c>
      <c r="J725">
        <v>131832.51592491401</v>
      </c>
      <c r="K725" t="str">
        <f>IF(AND(data_tab[[#This Row],[Revenue]]="",data_tab[[#This Row],[Cost]]=""),"Remove",IF(OR(data_tab[[#This Row],[Revenue]]="",data_tab[[#This Row],[Cost]]=""),"Flag","Valid"))</f>
        <v>Valid</v>
      </c>
      <c r="L725" t="str">
        <f>IF((COUNTIFS(data_tab[Revenue],data_tab[[#This Row],[Revenue]],data_tab[Cost],data_tab[[#This Row],[Cost]]))&gt;1,"Duplicate","Unique")</f>
        <v>Unique</v>
      </c>
      <c r="M725">
        <f>data_tab[[#This Row],[Revenue]]-data_tab[[#This Row],[Cost]]</f>
        <v>45999.484075085988</v>
      </c>
      <c r="N725" t="str">
        <f>IF(data_tab[[#This Row],[Revenue]]&lt;0,"Return","Sale")</f>
        <v>Sale</v>
      </c>
    </row>
    <row r="726" spans="1:14" hidden="1">
      <c r="A726" s="1">
        <v>46191</v>
      </c>
      <c r="B726">
        <f>MONTH(data_tab[[#This Row],[Order Date]])</f>
        <v>6</v>
      </c>
      <c r="C726">
        <f>YEAR(data_tab[[#This Row],[Order Date]])</f>
        <v>2026</v>
      </c>
      <c r="D726" t="s">
        <v>40</v>
      </c>
      <c r="E726" t="s">
        <v>15</v>
      </c>
      <c r="F726" t="s">
        <v>24</v>
      </c>
      <c r="G726" t="s">
        <v>33</v>
      </c>
      <c r="H726">
        <v>6</v>
      </c>
      <c r="I726">
        <v>88836</v>
      </c>
      <c r="J726">
        <v>79117.724380529602</v>
      </c>
      <c r="K726" t="str">
        <f>IF(AND(data_tab[[#This Row],[Revenue]]="",data_tab[[#This Row],[Cost]]=""),"Remove",IF(OR(data_tab[[#This Row],[Revenue]]="",data_tab[[#This Row],[Cost]]=""),"Flag","Valid"))</f>
        <v>Valid</v>
      </c>
      <c r="L726" t="str">
        <f>IF((COUNTIFS(data_tab[Revenue],data_tab[[#This Row],[Revenue]],data_tab[Cost],data_tab[[#This Row],[Cost]]))&gt;1,"Duplicate","Unique")</f>
        <v>Unique</v>
      </c>
      <c r="M726">
        <f>data_tab[[#This Row],[Revenue]]-data_tab[[#This Row],[Cost]]</f>
        <v>9718.2756194703979</v>
      </c>
      <c r="N726" t="str">
        <f>IF(data_tab[[#This Row],[Revenue]]&lt;0,"Return","Sale")</f>
        <v>Sale</v>
      </c>
    </row>
    <row r="727" spans="1:14" hidden="1">
      <c r="A727" s="1">
        <v>46071</v>
      </c>
      <c r="B727">
        <f>MONTH(data_tab[[#This Row],[Order Date]])</f>
        <v>2</v>
      </c>
      <c r="C727">
        <f>YEAR(data_tab[[#This Row],[Order Date]])</f>
        <v>2026</v>
      </c>
      <c r="D727" t="s">
        <v>29</v>
      </c>
      <c r="E727" t="s">
        <v>15</v>
      </c>
      <c r="F727" t="s">
        <v>16</v>
      </c>
      <c r="G727" t="s">
        <v>26</v>
      </c>
      <c r="H727">
        <v>10</v>
      </c>
      <c r="I727">
        <v>239970</v>
      </c>
      <c r="J727">
        <v>179123.507941402</v>
      </c>
      <c r="K727" t="str">
        <f>IF(AND(data_tab[[#This Row],[Revenue]]="",data_tab[[#This Row],[Cost]]=""),"Remove",IF(OR(data_tab[[#This Row],[Revenue]]="",data_tab[[#This Row],[Cost]]=""),"Flag","Valid"))</f>
        <v>Valid</v>
      </c>
      <c r="L727" t="str">
        <f>IF((COUNTIFS(data_tab[Revenue],data_tab[[#This Row],[Revenue]],data_tab[Cost],data_tab[[#This Row],[Cost]]))&gt;1,"Duplicate","Unique")</f>
        <v>Unique</v>
      </c>
      <c r="M727">
        <f>data_tab[[#This Row],[Revenue]]-data_tab[[#This Row],[Cost]]</f>
        <v>60846.492058598</v>
      </c>
      <c r="N727" t="str">
        <f>IF(data_tab[[#This Row],[Revenue]]&lt;0,"Return","Sale")</f>
        <v>Sale</v>
      </c>
    </row>
    <row r="728" spans="1:14" hidden="1">
      <c r="A728" s="1">
        <v>46033</v>
      </c>
      <c r="B728">
        <f>MONTH(data_tab[[#This Row],[Order Date]])</f>
        <v>1</v>
      </c>
      <c r="C728">
        <f>YEAR(data_tab[[#This Row],[Order Date]])</f>
        <v>2026</v>
      </c>
      <c r="D728" t="s">
        <v>14</v>
      </c>
      <c r="E728" t="s">
        <v>15</v>
      </c>
      <c r="F728" t="s">
        <v>21</v>
      </c>
      <c r="G728" t="s">
        <v>41</v>
      </c>
      <c r="H728">
        <v>4</v>
      </c>
      <c r="I728">
        <v>130296</v>
      </c>
      <c r="J728">
        <v>97665.713044175704</v>
      </c>
      <c r="K728" t="str">
        <f>IF(AND(data_tab[[#This Row],[Revenue]]="",data_tab[[#This Row],[Cost]]=""),"Remove",IF(OR(data_tab[[#This Row],[Revenue]]="",data_tab[[#This Row],[Cost]]=""),"Flag","Valid"))</f>
        <v>Valid</v>
      </c>
      <c r="L728" t="str">
        <f>IF((COUNTIFS(data_tab[Revenue],data_tab[[#This Row],[Revenue]],data_tab[Cost],data_tab[[#This Row],[Cost]]))&gt;1,"Duplicate","Unique")</f>
        <v>Unique</v>
      </c>
      <c r="M728">
        <f>data_tab[[#This Row],[Revenue]]-data_tab[[#This Row],[Cost]]</f>
        <v>32630.286955824296</v>
      </c>
      <c r="N728" t="str">
        <f>IF(data_tab[[#This Row],[Revenue]]&lt;0,"Return","Sale")</f>
        <v>Sale</v>
      </c>
    </row>
    <row r="729" spans="1:14" hidden="1">
      <c r="A729" s="1">
        <v>46107</v>
      </c>
      <c r="B729">
        <f>MONTH(data_tab[[#This Row],[Order Date]])</f>
        <v>3</v>
      </c>
      <c r="C729">
        <f>YEAR(data_tab[[#This Row],[Order Date]])</f>
        <v>2026</v>
      </c>
      <c r="D729" t="s">
        <v>29</v>
      </c>
      <c r="E729" t="s">
        <v>15</v>
      </c>
      <c r="F729" t="s">
        <v>21</v>
      </c>
      <c r="G729" t="s">
        <v>39</v>
      </c>
      <c r="H729">
        <v>6</v>
      </c>
      <c r="J729">
        <v>8412.5762481394504</v>
      </c>
      <c r="K729" t="str">
        <f>IF(AND(data_tab[[#This Row],[Revenue]]="",data_tab[[#This Row],[Cost]]=""),"Remove",IF(OR(data_tab[[#This Row],[Revenue]]="",data_tab[[#This Row],[Cost]]=""),"Flag","Valid"))</f>
        <v>Flag</v>
      </c>
      <c r="L729" t="str">
        <f>IF((COUNTIFS(data_tab[Revenue],data_tab[[#This Row],[Revenue]],data_tab[Cost],data_tab[[#This Row],[Cost]]))&gt;1,"Duplicate","Unique")</f>
        <v>Unique</v>
      </c>
      <c r="M729">
        <f>data_tab[[#This Row],[Revenue]]-data_tab[[#This Row],[Cost]]</f>
        <v>-8412.5762481394504</v>
      </c>
      <c r="N729" t="str">
        <f>IF(data_tab[[#This Row],[Revenue]]&lt;0,"Return","Sale")</f>
        <v>Sale</v>
      </c>
    </row>
    <row r="730" spans="1:14" hidden="1">
      <c r="A730" s="1">
        <v>46072</v>
      </c>
      <c r="B730">
        <f>MONTH(data_tab[[#This Row],[Order Date]])</f>
        <v>2</v>
      </c>
      <c r="C730">
        <f>YEAR(data_tab[[#This Row],[Order Date]])</f>
        <v>2026</v>
      </c>
      <c r="D730" t="s">
        <v>35</v>
      </c>
      <c r="E730" t="s">
        <v>32</v>
      </c>
      <c r="F730" t="s">
        <v>24</v>
      </c>
      <c r="G730" t="s">
        <v>39</v>
      </c>
      <c r="H730">
        <v>4</v>
      </c>
      <c r="I730">
        <v>59856</v>
      </c>
      <c r="J730">
        <v>36730.057005237599</v>
      </c>
      <c r="K730" t="str">
        <f>IF(AND(data_tab[[#This Row],[Revenue]]="",data_tab[[#This Row],[Cost]]=""),"Remove",IF(OR(data_tab[[#This Row],[Revenue]]="",data_tab[[#This Row],[Cost]]=""),"Flag","Valid"))</f>
        <v>Valid</v>
      </c>
      <c r="L730" t="str">
        <f>IF((COUNTIFS(data_tab[Revenue],data_tab[[#This Row],[Revenue]],data_tab[Cost],data_tab[[#This Row],[Cost]]))&gt;1,"Duplicate","Unique")</f>
        <v>Unique</v>
      </c>
      <c r="M730">
        <f>data_tab[[#This Row],[Revenue]]-data_tab[[#This Row],[Cost]]</f>
        <v>23125.942994762401</v>
      </c>
      <c r="N730" t="str">
        <f>IF(data_tab[[#This Row],[Revenue]]&lt;0,"Return","Sale")</f>
        <v>Sale</v>
      </c>
    </row>
    <row r="731" spans="1:14">
      <c r="A731" s="1">
        <v>46164</v>
      </c>
      <c r="B731">
        <f>MONTH(data_tab[[#This Row],[Order Date]])</f>
        <v>5</v>
      </c>
      <c r="C731">
        <f>YEAR(data_tab[[#This Row],[Order Date]])</f>
        <v>2026</v>
      </c>
      <c r="D731" t="s">
        <v>31</v>
      </c>
      <c r="E731" t="s">
        <v>32</v>
      </c>
      <c r="F731" t="s">
        <v>16</v>
      </c>
      <c r="G731" t="s">
        <v>39</v>
      </c>
      <c r="H731">
        <v>1</v>
      </c>
      <c r="I731">
        <v>46397</v>
      </c>
      <c r="J731">
        <v>25745.575307476101</v>
      </c>
      <c r="K731" t="str">
        <f>IF(AND(data_tab[[#This Row],[Revenue]]="",data_tab[[#This Row],[Cost]]=""),"Remove",IF(OR(data_tab[[#This Row],[Revenue]]="",data_tab[[#This Row],[Cost]]=""),"Flag","Valid"))</f>
        <v>Valid</v>
      </c>
      <c r="L731" t="str">
        <f>IF((COUNTIFS(data_tab[Revenue],data_tab[[#This Row],[Revenue]],data_tab[Cost],data_tab[[#This Row],[Cost]]))&gt;1,"Duplicate","Unique")</f>
        <v>Unique</v>
      </c>
      <c r="M731">
        <f>data_tab[[#This Row],[Revenue]]-data_tab[[#This Row],[Cost]]</f>
        <v>20651.424692523899</v>
      </c>
      <c r="N731" t="str">
        <f>IF(data_tab[[#This Row],[Revenue]]&lt;0,"Return","Sale")</f>
        <v>Sale</v>
      </c>
    </row>
    <row r="732" spans="1:14" hidden="1">
      <c r="A732" s="1">
        <v>46076</v>
      </c>
      <c r="B732">
        <f>MONTH(data_tab[[#This Row],[Order Date]])</f>
        <v>2</v>
      </c>
      <c r="C732">
        <f>YEAR(data_tab[[#This Row],[Order Date]])</f>
        <v>2026</v>
      </c>
      <c r="D732" t="s">
        <v>23</v>
      </c>
      <c r="E732" t="s">
        <v>15</v>
      </c>
      <c r="F732" t="s">
        <v>16</v>
      </c>
      <c r="G732" t="s">
        <v>41</v>
      </c>
      <c r="H732">
        <v>3</v>
      </c>
      <c r="I732">
        <v>109596</v>
      </c>
      <c r="J732">
        <v>97632.581567089801</v>
      </c>
      <c r="K732" t="str">
        <f>IF(AND(data_tab[[#This Row],[Revenue]]="",data_tab[[#This Row],[Cost]]=""),"Remove",IF(OR(data_tab[[#This Row],[Revenue]]="",data_tab[[#This Row],[Cost]]=""),"Flag","Valid"))</f>
        <v>Valid</v>
      </c>
      <c r="L732" t="str">
        <f>IF((COUNTIFS(data_tab[Revenue],data_tab[[#This Row],[Revenue]],data_tab[Cost],data_tab[[#This Row],[Cost]]))&gt;1,"Duplicate","Unique")</f>
        <v>Unique</v>
      </c>
      <c r="M732">
        <f>data_tab[[#This Row],[Revenue]]-data_tab[[#This Row],[Cost]]</f>
        <v>11963.418432910199</v>
      </c>
      <c r="N732" t="str">
        <f>IF(data_tab[[#This Row],[Revenue]]&lt;0,"Return","Sale")</f>
        <v>Sale</v>
      </c>
    </row>
    <row r="733" spans="1:14" hidden="1">
      <c r="A733" s="1">
        <v>46039</v>
      </c>
      <c r="B733">
        <f>MONTH(data_tab[[#This Row],[Order Date]])</f>
        <v>1</v>
      </c>
      <c r="C733">
        <f>YEAR(data_tab[[#This Row],[Order Date]])</f>
        <v>2026</v>
      </c>
      <c r="D733" t="s">
        <v>31</v>
      </c>
      <c r="E733" t="s">
        <v>32</v>
      </c>
      <c r="F733" t="s">
        <v>21</v>
      </c>
      <c r="G733" t="s">
        <v>17</v>
      </c>
      <c r="H733">
        <v>9</v>
      </c>
      <c r="I733">
        <v>241065</v>
      </c>
      <c r="J733">
        <v>187486.26879379101</v>
      </c>
      <c r="K733" t="str">
        <f>IF(AND(data_tab[[#This Row],[Revenue]]="",data_tab[[#This Row],[Cost]]=""),"Remove",IF(OR(data_tab[[#This Row],[Revenue]]="",data_tab[[#This Row],[Cost]]=""),"Flag","Valid"))</f>
        <v>Valid</v>
      </c>
      <c r="L733" t="str">
        <f>IF((COUNTIFS(data_tab[Revenue],data_tab[[#This Row],[Revenue]],data_tab[Cost],data_tab[[#This Row],[Cost]]))&gt;1,"Duplicate","Unique")</f>
        <v>Unique</v>
      </c>
      <c r="M733">
        <f>data_tab[[#This Row],[Revenue]]-data_tab[[#This Row],[Cost]]</f>
        <v>53578.731206208991</v>
      </c>
      <c r="N733" t="str">
        <f>IF(data_tab[[#This Row],[Revenue]]&lt;0,"Return","Sale")</f>
        <v>Sale</v>
      </c>
    </row>
    <row r="734" spans="1:14" hidden="1">
      <c r="A734" s="1">
        <v>46034</v>
      </c>
      <c r="B734">
        <f>MONTH(data_tab[[#This Row],[Order Date]])</f>
        <v>1</v>
      </c>
      <c r="C734">
        <f>YEAR(data_tab[[#This Row],[Order Date]])</f>
        <v>2026</v>
      </c>
      <c r="D734" t="s">
        <v>23</v>
      </c>
      <c r="E734" t="s">
        <v>15</v>
      </c>
      <c r="F734" t="s">
        <v>16</v>
      </c>
      <c r="G734" t="s">
        <v>17</v>
      </c>
      <c r="H734">
        <v>6</v>
      </c>
      <c r="I734">
        <v>109188</v>
      </c>
      <c r="J734">
        <v>56920.0963879626</v>
      </c>
      <c r="K734" t="str">
        <f>IF(AND(data_tab[[#This Row],[Revenue]]="",data_tab[[#This Row],[Cost]]=""),"Remove",IF(OR(data_tab[[#This Row],[Revenue]]="",data_tab[[#This Row],[Cost]]=""),"Flag","Valid"))</f>
        <v>Valid</v>
      </c>
      <c r="L734" t="str">
        <f>IF((COUNTIFS(data_tab[Revenue],data_tab[[#This Row],[Revenue]],data_tab[Cost],data_tab[[#This Row],[Cost]]))&gt;1,"Duplicate","Unique")</f>
        <v>Unique</v>
      </c>
      <c r="M734">
        <f>data_tab[[#This Row],[Revenue]]-data_tab[[#This Row],[Cost]]</f>
        <v>52267.9036120374</v>
      </c>
      <c r="N734" t="str">
        <f>IF(data_tab[[#This Row],[Revenue]]&lt;0,"Return","Sale")</f>
        <v>Sale</v>
      </c>
    </row>
    <row r="735" spans="1:14">
      <c r="A735" s="1">
        <v>46172</v>
      </c>
      <c r="B735">
        <f>MONTH(data_tab[[#This Row],[Order Date]])</f>
        <v>5</v>
      </c>
      <c r="C735">
        <f>YEAR(data_tab[[#This Row],[Order Date]])</f>
        <v>2026</v>
      </c>
      <c r="D735" t="s">
        <v>20</v>
      </c>
      <c r="E735" t="s">
        <v>15</v>
      </c>
      <c r="F735" t="s">
        <v>36</v>
      </c>
      <c r="G735" t="s">
        <v>41</v>
      </c>
      <c r="H735">
        <v>10</v>
      </c>
      <c r="I735">
        <v>62510</v>
      </c>
      <c r="J735">
        <v>35441.508267472498</v>
      </c>
      <c r="K735" t="str">
        <f>IF(AND(data_tab[[#This Row],[Revenue]]="",data_tab[[#This Row],[Cost]]=""),"Remove",IF(OR(data_tab[[#This Row],[Revenue]]="",data_tab[[#This Row],[Cost]]=""),"Flag","Valid"))</f>
        <v>Valid</v>
      </c>
      <c r="L735" t="str">
        <f>IF((COUNTIFS(data_tab[Revenue],data_tab[[#This Row],[Revenue]],data_tab[Cost],data_tab[[#This Row],[Cost]]))&gt;1,"Duplicate","Unique")</f>
        <v>Unique</v>
      </c>
      <c r="M735">
        <f>data_tab[[#This Row],[Revenue]]-data_tab[[#This Row],[Cost]]</f>
        <v>27068.491732527502</v>
      </c>
      <c r="N735" t="str">
        <f>IF(data_tab[[#This Row],[Revenue]]&lt;0,"Return","Sale")</f>
        <v>Sale</v>
      </c>
    </row>
    <row r="736" spans="1:14" hidden="1">
      <c r="A736" s="1">
        <v>46118</v>
      </c>
      <c r="B736">
        <f>MONTH(data_tab[[#This Row],[Order Date]])</f>
        <v>4</v>
      </c>
      <c r="C736">
        <f>YEAR(data_tab[[#This Row],[Order Date]])</f>
        <v>2026</v>
      </c>
      <c r="D736" t="s">
        <v>35</v>
      </c>
      <c r="E736" t="s">
        <v>32</v>
      </c>
      <c r="F736" t="s">
        <v>16</v>
      </c>
      <c r="G736" t="s">
        <v>26</v>
      </c>
      <c r="H736">
        <v>8</v>
      </c>
      <c r="I736">
        <v>391200</v>
      </c>
      <c r="J736">
        <v>345156.05608213699</v>
      </c>
      <c r="K736" t="str">
        <f>IF(AND(data_tab[[#This Row],[Revenue]]="",data_tab[[#This Row],[Cost]]=""),"Remove",IF(OR(data_tab[[#This Row],[Revenue]]="",data_tab[[#This Row],[Cost]]=""),"Flag","Valid"))</f>
        <v>Valid</v>
      </c>
      <c r="L736" t="str">
        <f>IF((COUNTIFS(data_tab[Revenue],data_tab[[#This Row],[Revenue]],data_tab[Cost],data_tab[[#This Row],[Cost]]))&gt;1,"Duplicate","Unique")</f>
        <v>Unique</v>
      </c>
      <c r="M736">
        <f>data_tab[[#This Row],[Revenue]]-data_tab[[#This Row],[Cost]]</f>
        <v>46043.943917863013</v>
      </c>
      <c r="N736" t="str">
        <f>IF(data_tab[[#This Row],[Revenue]]&lt;0,"Return","Sale")</f>
        <v>Sale</v>
      </c>
    </row>
    <row r="737" spans="1:14">
      <c r="A737" s="1">
        <v>46172</v>
      </c>
      <c r="B737">
        <f>MONTH(data_tab[[#This Row],[Order Date]])</f>
        <v>5</v>
      </c>
      <c r="C737">
        <f>YEAR(data_tab[[#This Row],[Order Date]])</f>
        <v>2026</v>
      </c>
      <c r="D737" t="s">
        <v>31</v>
      </c>
      <c r="E737" t="s">
        <v>32</v>
      </c>
      <c r="F737" t="s">
        <v>36</v>
      </c>
      <c r="G737" t="s">
        <v>17</v>
      </c>
      <c r="H737">
        <v>7</v>
      </c>
      <c r="I737">
        <v>114275</v>
      </c>
      <c r="J737">
        <v>71124.715950174505</v>
      </c>
      <c r="K737" t="str">
        <f>IF(AND(data_tab[[#This Row],[Revenue]]="",data_tab[[#This Row],[Cost]]=""),"Remove",IF(OR(data_tab[[#This Row],[Revenue]]="",data_tab[[#This Row],[Cost]]=""),"Flag","Valid"))</f>
        <v>Valid</v>
      </c>
      <c r="L737" t="str">
        <f>IF((COUNTIFS(data_tab[Revenue],data_tab[[#This Row],[Revenue]],data_tab[Cost],data_tab[[#This Row],[Cost]]))&gt;1,"Duplicate","Unique")</f>
        <v>Unique</v>
      </c>
      <c r="M737">
        <f>data_tab[[#This Row],[Revenue]]-data_tab[[#This Row],[Cost]]</f>
        <v>43150.284049825495</v>
      </c>
      <c r="N737" t="str">
        <f>IF(data_tab[[#This Row],[Revenue]]&lt;0,"Return","Sale")</f>
        <v>Sale</v>
      </c>
    </row>
    <row r="738" spans="1:14" hidden="1">
      <c r="A738" s="1">
        <v>46118</v>
      </c>
      <c r="B738">
        <f>MONTH(data_tab[[#This Row],[Order Date]])</f>
        <v>4</v>
      </c>
      <c r="C738">
        <f>YEAR(data_tab[[#This Row],[Order Date]])</f>
        <v>2026</v>
      </c>
      <c r="D738" t="s">
        <v>23</v>
      </c>
      <c r="E738" t="s">
        <v>15</v>
      </c>
      <c r="F738" t="s">
        <v>24</v>
      </c>
      <c r="G738" t="s">
        <v>37</v>
      </c>
      <c r="H738">
        <v>8</v>
      </c>
      <c r="I738">
        <v>288008</v>
      </c>
      <c r="J738">
        <v>184506.55946821201</v>
      </c>
      <c r="K738" t="str">
        <f>IF(AND(data_tab[[#This Row],[Revenue]]="",data_tab[[#This Row],[Cost]]=""),"Remove",IF(OR(data_tab[[#This Row],[Revenue]]="",data_tab[[#This Row],[Cost]]=""),"Flag","Valid"))</f>
        <v>Valid</v>
      </c>
      <c r="L738" t="str">
        <f>IF((COUNTIFS(data_tab[Revenue],data_tab[[#This Row],[Revenue]],data_tab[Cost],data_tab[[#This Row],[Cost]]))&gt;1,"Duplicate","Unique")</f>
        <v>Unique</v>
      </c>
      <c r="M738">
        <f>data_tab[[#This Row],[Revenue]]-data_tab[[#This Row],[Cost]]</f>
        <v>103501.44053178799</v>
      </c>
      <c r="N738" t="str">
        <f>IF(data_tab[[#This Row],[Revenue]]&lt;0,"Return","Sale")</f>
        <v>Sale</v>
      </c>
    </row>
    <row r="739" spans="1:14" hidden="1">
      <c r="A739" s="1">
        <v>46132</v>
      </c>
      <c r="B739">
        <f>MONTH(data_tab[[#This Row],[Order Date]])</f>
        <v>4</v>
      </c>
      <c r="C739">
        <f>YEAR(data_tab[[#This Row],[Order Date]])</f>
        <v>2026</v>
      </c>
      <c r="D739" t="s">
        <v>35</v>
      </c>
      <c r="E739" t="s">
        <v>32</v>
      </c>
      <c r="F739" t="s">
        <v>36</v>
      </c>
      <c r="G739" t="s">
        <v>37</v>
      </c>
      <c r="H739">
        <v>5</v>
      </c>
      <c r="I739">
        <v>135295</v>
      </c>
      <c r="J739">
        <v>68985.199360234503</v>
      </c>
      <c r="K739" t="str">
        <f>IF(AND(data_tab[[#This Row],[Revenue]]="",data_tab[[#This Row],[Cost]]=""),"Remove",IF(OR(data_tab[[#This Row],[Revenue]]="",data_tab[[#This Row],[Cost]]=""),"Flag","Valid"))</f>
        <v>Valid</v>
      </c>
      <c r="L739" t="str">
        <f>IF((COUNTIFS(data_tab[Revenue],data_tab[[#This Row],[Revenue]],data_tab[Cost],data_tab[[#This Row],[Cost]]))&gt;1,"Duplicate","Unique")</f>
        <v>Duplicate</v>
      </c>
      <c r="M739">
        <f>data_tab[[#This Row],[Revenue]]-data_tab[[#This Row],[Cost]]</f>
        <v>66309.800639765497</v>
      </c>
      <c r="N739" t="str">
        <f>IF(data_tab[[#This Row],[Revenue]]&lt;0,"Return","Sale")</f>
        <v>Sale</v>
      </c>
    </row>
    <row r="740" spans="1:14" hidden="1">
      <c r="A740" s="1">
        <v>46044</v>
      </c>
      <c r="B740">
        <f>MONTH(data_tab[[#This Row],[Order Date]])</f>
        <v>1</v>
      </c>
      <c r="C740">
        <f>YEAR(data_tab[[#This Row],[Order Date]])</f>
        <v>2026</v>
      </c>
      <c r="D740" t="s">
        <v>40</v>
      </c>
      <c r="E740" t="s">
        <v>15</v>
      </c>
      <c r="F740" t="s">
        <v>24</v>
      </c>
      <c r="G740" t="s">
        <v>37</v>
      </c>
      <c r="H740">
        <v>4</v>
      </c>
      <c r="I740">
        <v>33796</v>
      </c>
      <c r="J740">
        <v>18501.118422112701</v>
      </c>
      <c r="K740" t="str">
        <f>IF(AND(data_tab[[#This Row],[Revenue]]="",data_tab[[#This Row],[Cost]]=""),"Remove",IF(OR(data_tab[[#This Row],[Revenue]]="",data_tab[[#This Row],[Cost]]=""),"Flag","Valid"))</f>
        <v>Valid</v>
      </c>
      <c r="L740" t="str">
        <f>IF((COUNTIFS(data_tab[Revenue],data_tab[[#This Row],[Revenue]],data_tab[Cost],data_tab[[#This Row],[Cost]]))&gt;1,"Duplicate","Unique")</f>
        <v>Unique</v>
      </c>
      <c r="M740">
        <f>data_tab[[#This Row],[Revenue]]-data_tab[[#This Row],[Cost]]</f>
        <v>15294.881577887299</v>
      </c>
      <c r="N740" t="str">
        <f>IF(data_tab[[#This Row],[Revenue]]&lt;0,"Return","Sale")</f>
        <v>Sale</v>
      </c>
    </row>
    <row r="741" spans="1:14" hidden="1">
      <c r="A741" s="1">
        <v>46195</v>
      </c>
      <c r="B741">
        <f>MONTH(data_tab[[#This Row],[Order Date]])</f>
        <v>6</v>
      </c>
      <c r="C741">
        <f>YEAR(data_tab[[#This Row],[Order Date]])</f>
        <v>2026</v>
      </c>
      <c r="D741" t="s">
        <v>23</v>
      </c>
      <c r="E741" t="s">
        <v>15</v>
      </c>
      <c r="F741" t="s">
        <v>16</v>
      </c>
      <c r="G741" t="s">
        <v>17</v>
      </c>
      <c r="H741">
        <v>10</v>
      </c>
      <c r="I741">
        <v>110350</v>
      </c>
      <c r="J741">
        <v>99244.6010184263</v>
      </c>
      <c r="K741" t="str">
        <f>IF(AND(data_tab[[#This Row],[Revenue]]="",data_tab[[#This Row],[Cost]]=""),"Remove",IF(OR(data_tab[[#This Row],[Revenue]]="",data_tab[[#This Row],[Cost]]=""),"Flag","Valid"))</f>
        <v>Valid</v>
      </c>
      <c r="L741" t="str">
        <f>IF((COUNTIFS(data_tab[Revenue],data_tab[[#This Row],[Revenue]],data_tab[Cost],data_tab[[#This Row],[Cost]]))&gt;1,"Duplicate","Unique")</f>
        <v>Unique</v>
      </c>
      <c r="M741">
        <f>data_tab[[#This Row],[Revenue]]-data_tab[[#This Row],[Cost]]</f>
        <v>11105.3989815737</v>
      </c>
      <c r="N741" t="str">
        <f>IF(data_tab[[#This Row],[Revenue]]&lt;0,"Return","Sale")</f>
        <v>Sale</v>
      </c>
    </row>
    <row r="742" spans="1:14" hidden="1">
      <c r="A742" s="1">
        <v>46025</v>
      </c>
      <c r="B742">
        <f>MONTH(data_tab[[#This Row],[Order Date]])</f>
        <v>1</v>
      </c>
      <c r="C742">
        <f>YEAR(data_tab[[#This Row],[Order Date]])</f>
        <v>2026</v>
      </c>
      <c r="D742" t="s">
        <v>35</v>
      </c>
      <c r="E742" t="s">
        <v>32</v>
      </c>
      <c r="F742" t="s">
        <v>36</v>
      </c>
      <c r="G742" t="s">
        <v>33</v>
      </c>
      <c r="H742">
        <v>10</v>
      </c>
      <c r="I742">
        <v>449460</v>
      </c>
      <c r="J742">
        <v>226867.76127054301</v>
      </c>
      <c r="K742" t="str">
        <f>IF(AND(data_tab[[#This Row],[Revenue]]="",data_tab[[#This Row],[Cost]]=""),"Remove",IF(OR(data_tab[[#This Row],[Revenue]]="",data_tab[[#This Row],[Cost]]=""),"Flag","Valid"))</f>
        <v>Valid</v>
      </c>
      <c r="L742" t="str">
        <f>IF((COUNTIFS(data_tab[Revenue],data_tab[[#This Row],[Revenue]],data_tab[Cost],data_tab[[#This Row],[Cost]]))&gt;1,"Duplicate","Unique")</f>
        <v>Duplicate</v>
      </c>
      <c r="M742">
        <f>data_tab[[#This Row],[Revenue]]-data_tab[[#This Row],[Cost]]</f>
        <v>222592.23872945699</v>
      </c>
      <c r="N742" t="str">
        <f>IF(data_tab[[#This Row],[Revenue]]&lt;0,"Return","Sale")</f>
        <v>Sale</v>
      </c>
    </row>
    <row r="743" spans="1:14" hidden="1">
      <c r="A743" s="1">
        <v>46124</v>
      </c>
      <c r="B743">
        <f>MONTH(data_tab[[#This Row],[Order Date]])</f>
        <v>4</v>
      </c>
      <c r="C743">
        <f>YEAR(data_tab[[#This Row],[Order Date]])</f>
        <v>2026</v>
      </c>
      <c r="D743" t="s">
        <v>31</v>
      </c>
      <c r="E743" t="s">
        <v>32</v>
      </c>
      <c r="F743" t="s">
        <v>36</v>
      </c>
      <c r="G743" t="s">
        <v>17</v>
      </c>
      <c r="H743">
        <v>9</v>
      </c>
      <c r="I743">
        <v>364221</v>
      </c>
      <c r="J743">
        <v>296617.88894291199</v>
      </c>
      <c r="K743" t="str">
        <f>IF(AND(data_tab[[#This Row],[Revenue]]="",data_tab[[#This Row],[Cost]]=""),"Remove",IF(OR(data_tab[[#This Row],[Revenue]]="",data_tab[[#This Row],[Cost]]=""),"Flag","Valid"))</f>
        <v>Valid</v>
      </c>
      <c r="L743" t="str">
        <f>IF((COUNTIFS(data_tab[Revenue],data_tab[[#This Row],[Revenue]],data_tab[Cost],data_tab[[#This Row],[Cost]]))&gt;1,"Duplicate","Unique")</f>
        <v>Unique</v>
      </c>
      <c r="M743">
        <f>data_tab[[#This Row],[Revenue]]-data_tab[[#This Row],[Cost]]</f>
        <v>67603.111057088012</v>
      </c>
      <c r="N743" t="str">
        <f>IF(data_tab[[#This Row],[Revenue]]&lt;0,"Return","Sale")</f>
        <v>Sale</v>
      </c>
    </row>
    <row r="744" spans="1:14" hidden="1">
      <c r="A744" s="1">
        <v>46044</v>
      </c>
      <c r="B744">
        <f>MONTH(data_tab[[#This Row],[Order Date]])</f>
        <v>1</v>
      </c>
      <c r="C744">
        <f>YEAR(data_tab[[#This Row],[Order Date]])</f>
        <v>2026</v>
      </c>
      <c r="D744" t="s">
        <v>23</v>
      </c>
      <c r="E744" t="s">
        <v>15</v>
      </c>
      <c r="F744" t="s">
        <v>36</v>
      </c>
      <c r="G744" t="s">
        <v>17</v>
      </c>
      <c r="H744">
        <v>8</v>
      </c>
      <c r="J744">
        <v>211902.744159291</v>
      </c>
      <c r="K744" t="str">
        <f>IF(AND(data_tab[[#This Row],[Revenue]]="",data_tab[[#This Row],[Cost]]=""),"Remove",IF(OR(data_tab[[#This Row],[Revenue]]="",data_tab[[#This Row],[Cost]]=""),"Flag","Valid"))</f>
        <v>Flag</v>
      </c>
      <c r="L744" t="str">
        <f>IF((COUNTIFS(data_tab[Revenue],data_tab[[#This Row],[Revenue]],data_tab[Cost],data_tab[[#This Row],[Cost]]))&gt;1,"Duplicate","Unique")</f>
        <v>Unique</v>
      </c>
      <c r="M744">
        <f>data_tab[[#This Row],[Revenue]]-data_tab[[#This Row],[Cost]]</f>
        <v>-211902.744159291</v>
      </c>
      <c r="N744" t="str">
        <f>IF(data_tab[[#This Row],[Revenue]]&lt;0,"Return","Sale")</f>
        <v>Sale</v>
      </c>
    </row>
    <row r="745" spans="1:14" hidden="1">
      <c r="A745" s="1">
        <v>46101</v>
      </c>
      <c r="B745">
        <f>MONTH(data_tab[[#This Row],[Order Date]])</f>
        <v>3</v>
      </c>
      <c r="C745">
        <f>YEAR(data_tab[[#This Row],[Order Date]])</f>
        <v>2026</v>
      </c>
      <c r="D745" t="s">
        <v>23</v>
      </c>
      <c r="E745" t="s">
        <v>15</v>
      </c>
      <c r="F745" t="s">
        <v>16</v>
      </c>
      <c r="G745" t="s">
        <v>37</v>
      </c>
      <c r="H745">
        <v>4</v>
      </c>
      <c r="I745">
        <v>117876</v>
      </c>
      <c r="J745">
        <v>79010.837557026607</v>
      </c>
      <c r="K745" t="str">
        <f>IF(AND(data_tab[[#This Row],[Revenue]]="",data_tab[[#This Row],[Cost]]=""),"Remove",IF(OR(data_tab[[#This Row],[Revenue]]="",data_tab[[#This Row],[Cost]]=""),"Flag","Valid"))</f>
        <v>Valid</v>
      </c>
      <c r="L745" t="str">
        <f>IF((COUNTIFS(data_tab[Revenue],data_tab[[#This Row],[Revenue]],data_tab[Cost],data_tab[[#This Row],[Cost]]))&gt;1,"Duplicate","Unique")</f>
        <v>Unique</v>
      </c>
      <c r="M745">
        <f>data_tab[[#This Row],[Revenue]]-data_tab[[#This Row],[Cost]]</f>
        <v>38865.162442973393</v>
      </c>
      <c r="N745" t="str">
        <f>IF(data_tab[[#This Row],[Revenue]]&lt;0,"Return","Sale")</f>
        <v>Sale</v>
      </c>
    </row>
    <row r="746" spans="1:14" hidden="1">
      <c r="A746" s="1">
        <v>46099</v>
      </c>
      <c r="B746">
        <f>MONTH(data_tab[[#This Row],[Order Date]])</f>
        <v>3</v>
      </c>
      <c r="C746">
        <f>YEAR(data_tab[[#This Row],[Order Date]])</f>
        <v>2026</v>
      </c>
      <c r="D746" t="s">
        <v>23</v>
      </c>
      <c r="E746" t="s">
        <v>15</v>
      </c>
      <c r="F746" t="s">
        <v>24</v>
      </c>
      <c r="G746" t="s">
        <v>17</v>
      </c>
      <c r="H746">
        <v>3</v>
      </c>
      <c r="I746">
        <v>70929</v>
      </c>
      <c r="J746">
        <v>51584.9845075454</v>
      </c>
      <c r="K746" t="str">
        <f>IF(AND(data_tab[[#This Row],[Revenue]]="",data_tab[[#This Row],[Cost]]=""),"Remove",IF(OR(data_tab[[#This Row],[Revenue]]="",data_tab[[#This Row],[Cost]]=""),"Flag","Valid"))</f>
        <v>Valid</v>
      </c>
      <c r="L746" t="str">
        <f>IF((COUNTIFS(data_tab[Revenue],data_tab[[#This Row],[Revenue]],data_tab[Cost],data_tab[[#This Row],[Cost]]))&gt;1,"Duplicate","Unique")</f>
        <v>Unique</v>
      </c>
      <c r="M746">
        <f>data_tab[[#This Row],[Revenue]]-data_tab[[#This Row],[Cost]]</f>
        <v>19344.0154924546</v>
      </c>
      <c r="N746" t="str">
        <f>IF(data_tab[[#This Row],[Revenue]]&lt;0,"Return","Sale")</f>
        <v>Sale</v>
      </c>
    </row>
    <row r="747" spans="1:14" hidden="1">
      <c r="A747" s="1">
        <v>46123</v>
      </c>
      <c r="B747">
        <f>MONTH(data_tab[[#This Row],[Order Date]])</f>
        <v>4</v>
      </c>
      <c r="C747">
        <f>YEAR(data_tab[[#This Row],[Order Date]])</f>
        <v>2026</v>
      </c>
      <c r="D747" t="s">
        <v>29</v>
      </c>
      <c r="E747" t="s">
        <v>15</v>
      </c>
      <c r="F747" t="s">
        <v>24</v>
      </c>
      <c r="G747" t="s">
        <v>26</v>
      </c>
      <c r="H747">
        <v>7</v>
      </c>
      <c r="I747">
        <v>100394</v>
      </c>
      <c r="J747">
        <v>69262.931143279697</v>
      </c>
      <c r="K747" t="str">
        <f>IF(AND(data_tab[[#This Row],[Revenue]]="",data_tab[[#This Row],[Cost]]=""),"Remove",IF(OR(data_tab[[#This Row],[Revenue]]="",data_tab[[#This Row],[Cost]]=""),"Flag","Valid"))</f>
        <v>Valid</v>
      </c>
      <c r="L747" t="str">
        <f>IF((COUNTIFS(data_tab[Revenue],data_tab[[#This Row],[Revenue]],data_tab[Cost],data_tab[[#This Row],[Cost]]))&gt;1,"Duplicate","Unique")</f>
        <v>Unique</v>
      </c>
      <c r="M747">
        <f>data_tab[[#This Row],[Revenue]]-data_tab[[#This Row],[Cost]]</f>
        <v>31131.068856720303</v>
      </c>
      <c r="N747" t="str">
        <f>IF(data_tab[[#This Row],[Revenue]]&lt;0,"Return","Sale")</f>
        <v>Sale</v>
      </c>
    </row>
    <row r="748" spans="1:14" hidden="1">
      <c r="A748" s="1">
        <v>46100</v>
      </c>
      <c r="B748">
        <f>MONTH(data_tab[[#This Row],[Order Date]])</f>
        <v>3</v>
      </c>
      <c r="C748">
        <f>YEAR(data_tab[[#This Row],[Order Date]])</f>
        <v>2026</v>
      </c>
      <c r="D748" t="s">
        <v>20</v>
      </c>
      <c r="E748" t="s">
        <v>15</v>
      </c>
      <c r="F748" t="s">
        <v>21</v>
      </c>
      <c r="G748" t="s">
        <v>39</v>
      </c>
      <c r="H748">
        <v>10</v>
      </c>
      <c r="I748">
        <v>340210</v>
      </c>
      <c r="J748">
        <v>173757.29113741001</v>
      </c>
      <c r="K748" t="str">
        <f>IF(AND(data_tab[[#This Row],[Revenue]]="",data_tab[[#This Row],[Cost]]=""),"Remove",IF(OR(data_tab[[#This Row],[Revenue]]="",data_tab[[#This Row],[Cost]]=""),"Flag","Valid"))</f>
        <v>Valid</v>
      </c>
      <c r="L748" t="str">
        <f>IF((COUNTIFS(data_tab[Revenue],data_tab[[#This Row],[Revenue]],data_tab[Cost],data_tab[[#This Row],[Cost]]))&gt;1,"Duplicate","Unique")</f>
        <v>Unique</v>
      </c>
      <c r="M748">
        <f>data_tab[[#This Row],[Revenue]]-data_tab[[#This Row],[Cost]]</f>
        <v>166452.70886258999</v>
      </c>
      <c r="N748" t="str">
        <f>IF(data_tab[[#This Row],[Revenue]]&lt;0,"Return","Sale")</f>
        <v>Sale</v>
      </c>
    </row>
    <row r="749" spans="1:14" hidden="1">
      <c r="A749" s="1">
        <v>46075</v>
      </c>
      <c r="B749">
        <f>MONTH(data_tab[[#This Row],[Order Date]])</f>
        <v>2</v>
      </c>
      <c r="C749">
        <f>YEAR(data_tab[[#This Row],[Order Date]])</f>
        <v>2026</v>
      </c>
      <c r="D749" t="s">
        <v>20</v>
      </c>
      <c r="E749" t="s">
        <v>15</v>
      </c>
      <c r="F749" t="s">
        <v>36</v>
      </c>
      <c r="G749" t="s">
        <v>39</v>
      </c>
      <c r="H749">
        <v>6</v>
      </c>
      <c r="I749">
        <v>215892</v>
      </c>
      <c r="J749">
        <v>108899.991245853</v>
      </c>
      <c r="K749" t="str">
        <f>IF(AND(data_tab[[#This Row],[Revenue]]="",data_tab[[#This Row],[Cost]]=""),"Remove",IF(OR(data_tab[[#This Row],[Revenue]]="",data_tab[[#This Row],[Cost]]=""),"Flag","Valid"))</f>
        <v>Valid</v>
      </c>
      <c r="L749" t="str">
        <f>IF((COUNTIFS(data_tab[Revenue],data_tab[[#This Row],[Revenue]],data_tab[Cost],data_tab[[#This Row],[Cost]]))&gt;1,"Duplicate","Unique")</f>
        <v>Unique</v>
      </c>
      <c r="M749">
        <f>data_tab[[#This Row],[Revenue]]-data_tab[[#This Row],[Cost]]</f>
        <v>106992.008754147</v>
      </c>
      <c r="N749" t="str">
        <f>IF(data_tab[[#This Row],[Revenue]]&lt;0,"Return","Sale")</f>
        <v>Sale</v>
      </c>
    </row>
    <row r="750" spans="1:14" hidden="1">
      <c r="A750" s="1">
        <v>46051</v>
      </c>
      <c r="B750">
        <f>MONTH(data_tab[[#This Row],[Order Date]])</f>
        <v>1</v>
      </c>
      <c r="C750">
        <f>YEAR(data_tab[[#This Row],[Order Date]])</f>
        <v>2026</v>
      </c>
      <c r="D750" t="s">
        <v>29</v>
      </c>
      <c r="E750" t="s">
        <v>15</v>
      </c>
      <c r="F750" t="s">
        <v>36</v>
      </c>
      <c r="G750" t="s">
        <v>41</v>
      </c>
      <c r="H750">
        <v>2</v>
      </c>
      <c r="I750">
        <v>54986</v>
      </c>
      <c r="J750">
        <v>48499.780302067498</v>
      </c>
      <c r="K750" t="str">
        <f>IF(AND(data_tab[[#This Row],[Revenue]]="",data_tab[[#This Row],[Cost]]=""),"Remove",IF(OR(data_tab[[#This Row],[Revenue]]="",data_tab[[#This Row],[Cost]]=""),"Flag","Valid"))</f>
        <v>Valid</v>
      </c>
      <c r="L750" t="str">
        <f>IF((COUNTIFS(data_tab[Revenue],data_tab[[#This Row],[Revenue]],data_tab[Cost],data_tab[[#This Row],[Cost]]))&gt;1,"Duplicate","Unique")</f>
        <v>Unique</v>
      </c>
      <c r="M750">
        <f>data_tab[[#This Row],[Revenue]]-data_tab[[#This Row],[Cost]]</f>
        <v>6486.2196979325017</v>
      </c>
      <c r="N750" t="str">
        <f>IF(data_tab[[#This Row],[Revenue]]&lt;0,"Return","Sale")</f>
        <v>Sale</v>
      </c>
    </row>
    <row r="751" spans="1:14" hidden="1">
      <c r="A751" s="1">
        <v>46133</v>
      </c>
      <c r="B751">
        <f>MONTH(data_tab[[#This Row],[Order Date]])</f>
        <v>4</v>
      </c>
      <c r="C751">
        <f>YEAR(data_tab[[#This Row],[Order Date]])</f>
        <v>2026</v>
      </c>
      <c r="D751" t="s">
        <v>31</v>
      </c>
      <c r="E751" t="s">
        <v>32</v>
      </c>
      <c r="F751" t="s">
        <v>16</v>
      </c>
      <c r="G751" t="s">
        <v>26</v>
      </c>
      <c r="H751">
        <v>4</v>
      </c>
      <c r="I751">
        <v>139720</v>
      </c>
      <c r="J751">
        <v>109918.956180469</v>
      </c>
      <c r="K751" t="str">
        <f>IF(AND(data_tab[[#This Row],[Revenue]]="",data_tab[[#This Row],[Cost]]=""),"Remove",IF(OR(data_tab[[#This Row],[Revenue]]="",data_tab[[#This Row],[Cost]]=""),"Flag","Valid"))</f>
        <v>Valid</v>
      </c>
      <c r="L751" t="str">
        <f>IF((COUNTIFS(data_tab[Revenue],data_tab[[#This Row],[Revenue]],data_tab[Cost],data_tab[[#This Row],[Cost]]))&gt;1,"Duplicate","Unique")</f>
        <v>Unique</v>
      </c>
      <c r="M751">
        <f>data_tab[[#This Row],[Revenue]]-data_tab[[#This Row],[Cost]]</f>
        <v>29801.043819530998</v>
      </c>
      <c r="N751" t="str">
        <f>IF(data_tab[[#This Row],[Revenue]]&lt;0,"Return","Sale")</f>
        <v>Sale</v>
      </c>
    </row>
    <row r="752" spans="1:14" hidden="1">
      <c r="A752" s="1">
        <v>46137</v>
      </c>
      <c r="B752">
        <f>MONTH(data_tab[[#This Row],[Order Date]])</f>
        <v>4</v>
      </c>
      <c r="C752">
        <f>YEAR(data_tab[[#This Row],[Order Date]])</f>
        <v>2026</v>
      </c>
      <c r="D752" t="s">
        <v>29</v>
      </c>
      <c r="E752" t="s">
        <v>15</v>
      </c>
      <c r="F752" t="s">
        <v>21</v>
      </c>
      <c r="G752" t="s">
        <v>26</v>
      </c>
      <c r="H752">
        <v>6</v>
      </c>
      <c r="I752">
        <v>235824</v>
      </c>
      <c r="J752">
        <v>200850.300101434</v>
      </c>
      <c r="K752" t="str">
        <f>IF(AND(data_tab[[#This Row],[Revenue]]="",data_tab[[#This Row],[Cost]]=""),"Remove",IF(OR(data_tab[[#This Row],[Revenue]]="",data_tab[[#This Row],[Cost]]=""),"Flag","Valid"))</f>
        <v>Valid</v>
      </c>
      <c r="L752" t="str">
        <f>IF((COUNTIFS(data_tab[Revenue],data_tab[[#This Row],[Revenue]],data_tab[Cost],data_tab[[#This Row],[Cost]]))&gt;1,"Duplicate","Unique")</f>
        <v>Unique</v>
      </c>
      <c r="M752">
        <f>data_tab[[#This Row],[Revenue]]-data_tab[[#This Row],[Cost]]</f>
        <v>34973.699898566003</v>
      </c>
      <c r="N752" t="str">
        <f>IF(data_tab[[#This Row],[Revenue]]&lt;0,"Return","Sale")</f>
        <v>Sale</v>
      </c>
    </row>
    <row r="753" spans="1:14" hidden="1">
      <c r="A753" s="1">
        <v>46096</v>
      </c>
      <c r="B753">
        <f>MONTH(data_tab[[#This Row],[Order Date]])</f>
        <v>3</v>
      </c>
      <c r="C753">
        <f>YEAR(data_tab[[#This Row],[Order Date]])</f>
        <v>2026</v>
      </c>
      <c r="D753" t="s">
        <v>35</v>
      </c>
      <c r="E753" t="s">
        <v>32</v>
      </c>
      <c r="F753" t="s">
        <v>16</v>
      </c>
      <c r="G753" t="s">
        <v>33</v>
      </c>
      <c r="H753">
        <v>10</v>
      </c>
      <c r="I753">
        <v>134770</v>
      </c>
      <c r="J753">
        <v>89759.664106476004</v>
      </c>
      <c r="K753" t="str">
        <f>IF(AND(data_tab[[#This Row],[Revenue]]="",data_tab[[#This Row],[Cost]]=""),"Remove",IF(OR(data_tab[[#This Row],[Revenue]]="",data_tab[[#This Row],[Cost]]=""),"Flag","Valid"))</f>
        <v>Valid</v>
      </c>
      <c r="L753" t="str">
        <f>IF((COUNTIFS(data_tab[Revenue],data_tab[[#This Row],[Revenue]],data_tab[Cost],data_tab[[#This Row],[Cost]]))&gt;1,"Duplicate","Unique")</f>
        <v>Unique</v>
      </c>
      <c r="M753">
        <f>data_tab[[#This Row],[Revenue]]-data_tab[[#This Row],[Cost]]</f>
        <v>45010.335893523996</v>
      </c>
      <c r="N753" t="str">
        <f>IF(data_tab[[#This Row],[Revenue]]&lt;0,"Return","Sale")</f>
        <v>Sale</v>
      </c>
    </row>
    <row r="754" spans="1:14" hidden="1">
      <c r="A754" s="1">
        <v>46121</v>
      </c>
      <c r="B754">
        <f>MONTH(data_tab[[#This Row],[Order Date]])</f>
        <v>4</v>
      </c>
      <c r="C754">
        <f>YEAR(data_tab[[#This Row],[Order Date]])</f>
        <v>2026</v>
      </c>
      <c r="D754" t="s">
        <v>40</v>
      </c>
      <c r="E754" t="s">
        <v>15</v>
      </c>
      <c r="F754" t="s">
        <v>24</v>
      </c>
      <c r="G754" t="s">
        <v>33</v>
      </c>
      <c r="H754">
        <v>1</v>
      </c>
      <c r="I754">
        <v>17708</v>
      </c>
      <c r="J754">
        <v>15126.4698057637</v>
      </c>
      <c r="K754" t="str">
        <f>IF(AND(data_tab[[#This Row],[Revenue]]="",data_tab[[#This Row],[Cost]]=""),"Remove",IF(OR(data_tab[[#This Row],[Revenue]]="",data_tab[[#This Row],[Cost]]=""),"Flag","Valid"))</f>
        <v>Valid</v>
      </c>
      <c r="L754" t="str">
        <f>IF((COUNTIFS(data_tab[Revenue],data_tab[[#This Row],[Revenue]],data_tab[Cost],data_tab[[#This Row],[Cost]]))&gt;1,"Duplicate","Unique")</f>
        <v>Unique</v>
      </c>
      <c r="M754">
        <f>data_tab[[#This Row],[Revenue]]-data_tab[[#This Row],[Cost]]</f>
        <v>2581.5301942363003</v>
      </c>
      <c r="N754" t="str">
        <f>IF(data_tab[[#This Row],[Revenue]]&lt;0,"Return","Sale")</f>
        <v>Sale</v>
      </c>
    </row>
    <row r="755" spans="1:14" hidden="1">
      <c r="A755" s="1">
        <v>46193</v>
      </c>
      <c r="B755">
        <f>MONTH(data_tab[[#This Row],[Order Date]])</f>
        <v>6</v>
      </c>
      <c r="C755">
        <f>YEAR(data_tab[[#This Row],[Order Date]])</f>
        <v>2026</v>
      </c>
      <c r="D755" t="s">
        <v>14</v>
      </c>
      <c r="E755" t="s">
        <v>15</v>
      </c>
      <c r="F755" t="s">
        <v>21</v>
      </c>
      <c r="G755" t="s">
        <v>33</v>
      </c>
      <c r="H755">
        <v>7</v>
      </c>
      <c r="I755">
        <v>267603</v>
      </c>
      <c r="J755">
        <v>146778.171531926</v>
      </c>
      <c r="K755" t="str">
        <f>IF(AND(data_tab[[#This Row],[Revenue]]="",data_tab[[#This Row],[Cost]]=""),"Remove",IF(OR(data_tab[[#This Row],[Revenue]]="",data_tab[[#This Row],[Cost]]=""),"Flag","Valid"))</f>
        <v>Valid</v>
      </c>
      <c r="L755" t="str">
        <f>IF((COUNTIFS(data_tab[Revenue],data_tab[[#This Row],[Revenue]],data_tab[Cost],data_tab[[#This Row],[Cost]]))&gt;1,"Duplicate","Unique")</f>
        <v>Unique</v>
      </c>
      <c r="M755">
        <f>data_tab[[#This Row],[Revenue]]-data_tab[[#This Row],[Cost]]</f>
        <v>120824.828468074</v>
      </c>
      <c r="N755" t="str">
        <f>IF(data_tab[[#This Row],[Revenue]]&lt;0,"Return","Sale")</f>
        <v>Sale</v>
      </c>
    </row>
    <row r="756" spans="1:14" hidden="1">
      <c r="A756" s="1">
        <v>46106</v>
      </c>
      <c r="B756">
        <f>MONTH(data_tab[[#This Row],[Order Date]])</f>
        <v>3</v>
      </c>
      <c r="C756">
        <f>YEAR(data_tab[[#This Row],[Order Date]])</f>
        <v>2026</v>
      </c>
      <c r="D756" t="s">
        <v>31</v>
      </c>
      <c r="E756" t="s">
        <v>32</v>
      </c>
      <c r="F756" t="s">
        <v>24</v>
      </c>
      <c r="G756" t="s">
        <v>33</v>
      </c>
      <c r="H756">
        <v>1</v>
      </c>
      <c r="I756">
        <v>6796</v>
      </c>
      <c r="J756">
        <v>5134.6950291863805</v>
      </c>
      <c r="K756" t="str">
        <f>IF(AND(data_tab[[#This Row],[Revenue]]="",data_tab[[#This Row],[Cost]]=""),"Remove",IF(OR(data_tab[[#This Row],[Revenue]]="",data_tab[[#This Row],[Cost]]=""),"Flag","Valid"))</f>
        <v>Valid</v>
      </c>
      <c r="L756" t="str">
        <f>IF((COUNTIFS(data_tab[Revenue],data_tab[[#This Row],[Revenue]],data_tab[Cost],data_tab[[#This Row],[Cost]]))&gt;1,"Duplicate","Unique")</f>
        <v>Unique</v>
      </c>
      <c r="M756">
        <f>data_tab[[#This Row],[Revenue]]-data_tab[[#This Row],[Cost]]</f>
        <v>1661.3049708136195</v>
      </c>
      <c r="N756" t="str">
        <f>IF(data_tab[[#This Row],[Revenue]]&lt;0,"Return","Sale")</f>
        <v>Sale</v>
      </c>
    </row>
    <row r="757" spans="1:14" hidden="1">
      <c r="A757" s="1">
        <v>46125</v>
      </c>
      <c r="B757">
        <f>MONTH(data_tab[[#This Row],[Order Date]])</f>
        <v>4</v>
      </c>
      <c r="C757">
        <f>YEAR(data_tab[[#This Row],[Order Date]])</f>
        <v>2026</v>
      </c>
      <c r="D757" t="s">
        <v>20</v>
      </c>
      <c r="E757" t="s">
        <v>15</v>
      </c>
      <c r="F757" t="s">
        <v>16</v>
      </c>
      <c r="G757" t="s">
        <v>39</v>
      </c>
      <c r="H757">
        <v>3</v>
      </c>
      <c r="I757">
        <v>70311</v>
      </c>
      <c r="J757">
        <v>54007.1607823019</v>
      </c>
      <c r="K757" t="str">
        <f>IF(AND(data_tab[[#This Row],[Revenue]]="",data_tab[[#This Row],[Cost]]=""),"Remove",IF(OR(data_tab[[#This Row],[Revenue]]="",data_tab[[#This Row],[Cost]]=""),"Flag","Valid"))</f>
        <v>Valid</v>
      </c>
      <c r="L757" t="str">
        <f>IF((COUNTIFS(data_tab[Revenue],data_tab[[#This Row],[Revenue]],data_tab[Cost],data_tab[[#This Row],[Cost]]))&gt;1,"Duplicate","Unique")</f>
        <v>Unique</v>
      </c>
      <c r="M757">
        <f>data_tab[[#This Row],[Revenue]]-data_tab[[#This Row],[Cost]]</f>
        <v>16303.8392176981</v>
      </c>
      <c r="N757" t="str">
        <f>IF(data_tab[[#This Row],[Revenue]]&lt;0,"Return","Sale")</f>
        <v>Sale</v>
      </c>
    </row>
    <row r="758" spans="1:14" hidden="1">
      <c r="A758" s="1">
        <v>46191</v>
      </c>
      <c r="B758">
        <f>MONTH(data_tab[[#This Row],[Order Date]])</f>
        <v>6</v>
      </c>
      <c r="C758">
        <f>YEAR(data_tab[[#This Row],[Order Date]])</f>
        <v>2026</v>
      </c>
      <c r="D758" t="s">
        <v>31</v>
      </c>
      <c r="E758" t="s">
        <v>32</v>
      </c>
      <c r="F758" t="s">
        <v>36</v>
      </c>
      <c r="G758" t="s">
        <v>37</v>
      </c>
      <c r="H758">
        <v>3</v>
      </c>
      <c r="I758">
        <v>39537</v>
      </c>
      <c r="J758">
        <v>33029.144179613199</v>
      </c>
      <c r="K758" t="str">
        <f>IF(AND(data_tab[[#This Row],[Revenue]]="",data_tab[[#This Row],[Cost]]=""),"Remove",IF(OR(data_tab[[#This Row],[Revenue]]="",data_tab[[#This Row],[Cost]]=""),"Flag","Valid"))</f>
        <v>Valid</v>
      </c>
      <c r="L758" t="str">
        <f>IF((COUNTIFS(data_tab[Revenue],data_tab[[#This Row],[Revenue]],data_tab[Cost],data_tab[[#This Row],[Cost]]))&gt;1,"Duplicate","Unique")</f>
        <v>Unique</v>
      </c>
      <c r="M758">
        <f>data_tab[[#This Row],[Revenue]]-data_tab[[#This Row],[Cost]]</f>
        <v>6507.8558203868015</v>
      </c>
      <c r="N758" t="str">
        <f>IF(data_tab[[#This Row],[Revenue]]&lt;0,"Return","Sale")</f>
        <v>Sale</v>
      </c>
    </row>
    <row r="759" spans="1:14" hidden="1">
      <c r="A759" s="1">
        <v>46330</v>
      </c>
      <c r="B759">
        <f>MONTH(data_tab[[#This Row],[Order Date]])</f>
        <v>11</v>
      </c>
      <c r="C759">
        <f>YEAR(data_tab[[#This Row],[Order Date]])</f>
        <v>2026</v>
      </c>
      <c r="D759" t="s">
        <v>14</v>
      </c>
      <c r="E759" t="s">
        <v>15</v>
      </c>
      <c r="F759" t="s">
        <v>24</v>
      </c>
      <c r="G759" t="s">
        <v>41</v>
      </c>
      <c r="H759">
        <v>5</v>
      </c>
      <c r="I759">
        <v>60295</v>
      </c>
      <c r="J759">
        <v>40775.2894235278</v>
      </c>
      <c r="K759" t="str">
        <f>IF(AND(data_tab[[#This Row],[Revenue]]="",data_tab[[#This Row],[Cost]]=""),"Remove",IF(OR(data_tab[[#This Row],[Revenue]]="",data_tab[[#This Row],[Cost]]=""),"Flag","Valid"))</f>
        <v>Valid</v>
      </c>
      <c r="L759" t="str">
        <f>IF((COUNTIFS(data_tab[Revenue],data_tab[[#This Row],[Revenue]],data_tab[Cost],data_tab[[#This Row],[Cost]]))&gt;1,"Duplicate","Unique")</f>
        <v>Unique</v>
      </c>
      <c r="M759">
        <f>data_tab[[#This Row],[Revenue]]-data_tab[[#This Row],[Cost]]</f>
        <v>19519.7105764722</v>
      </c>
      <c r="N759" t="str">
        <f>IF(data_tab[[#This Row],[Revenue]]&lt;0,"Return","Sale")</f>
        <v>Sale</v>
      </c>
    </row>
    <row r="760" spans="1:14">
      <c r="A760" s="1">
        <v>46159</v>
      </c>
      <c r="B760">
        <f>MONTH(data_tab[[#This Row],[Order Date]])</f>
        <v>5</v>
      </c>
      <c r="C760">
        <f>YEAR(data_tab[[#This Row],[Order Date]])</f>
        <v>2026</v>
      </c>
      <c r="D760" t="s">
        <v>23</v>
      </c>
      <c r="E760" t="s">
        <v>15</v>
      </c>
      <c r="F760" t="s">
        <v>24</v>
      </c>
      <c r="G760" t="s">
        <v>33</v>
      </c>
      <c r="H760">
        <v>5</v>
      </c>
      <c r="J760">
        <v>81002.414443409303</v>
      </c>
      <c r="K760" t="str">
        <f>IF(AND(data_tab[[#This Row],[Revenue]]="",data_tab[[#This Row],[Cost]]=""),"Remove",IF(OR(data_tab[[#This Row],[Revenue]]="",data_tab[[#This Row],[Cost]]=""),"Flag","Valid"))</f>
        <v>Flag</v>
      </c>
      <c r="L760" t="str">
        <f>IF((COUNTIFS(data_tab[Revenue],data_tab[[#This Row],[Revenue]],data_tab[Cost],data_tab[[#This Row],[Cost]]))&gt;1,"Duplicate","Unique")</f>
        <v>Unique</v>
      </c>
      <c r="M760">
        <f>data_tab[[#This Row],[Revenue]]-data_tab[[#This Row],[Cost]]</f>
        <v>-81002.414443409303</v>
      </c>
      <c r="N760" t="str">
        <f>IF(data_tab[[#This Row],[Revenue]]&lt;0,"Return","Sale")</f>
        <v>Sale</v>
      </c>
    </row>
    <row r="761" spans="1:14" hidden="1">
      <c r="A761" s="1">
        <v>46086</v>
      </c>
      <c r="B761">
        <f>MONTH(data_tab[[#This Row],[Order Date]])</f>
        <v>3</v>
      </c>
      <c r="C761">
        <f>YEAR(data_tab[[#This Row],[Order Date]])</f>
        <v>2026</v>
      </c>
      <c r="D761" t="s">
        <v>20</v>
      </c>
      <c r="E761" t="s">
        <v>15</v>
      </c>
      <c r="F761" t="s">
        <v>24</v>
      </c>
      <c r="G761" t="s">
        <v>33</v>
      </c>
      <c r="H761">
        <v>1</v>
      </c>
      <c r="I761">
        <v>2954</v>
      </c>
      <c r="J761">
        <v>1875.3370247180301</v>
      </c>
      <c r="K761" t="str">
        <f>IF(AND(data_tab[[#This Row],[Revenue]]="",data_tab[[#This Row],[Cost]]=""),"Remove",IF(OR(data_tab[[#This Row],[Revenue]]="",data_tab[[#This Row],[Cost]]=""),"Flag","Valid"))</f>
        <v>Valid</v>
      </c>
      <c r="L761" t="str">
        <f>IF((COUNTIFS(data_tab[Revenue],data_tab[[#This Row],[Revenue]],data_tab[Cost],data_tab[[#This Row],[Cost]]))&gt;1,"Duplicate","Unique")</f>
        <v>Unique</v>
      </c>
      <c r="M761">
        <f>data_tab[[#This Row],[Revenue]]-data_tab[[#This Row],[Cost]]</f>
        <v>1078.6629752819699</v>
      </c>
      <c r="N761" t="str">
        <f>IF(data_tab[[#This Row],[Revenue]]&lt;0,"Return","Sale")</f>
        <v>Sale</v>
      </c>
    </row>
    <row r="762" spans="1:14" hidden="1">
      <c r="A762" s="1">
        <v>46047</v>
      </c>
      <c r="B762">
        <f>MONTH(data_tab[[#This Row],[Order Date]])</f>
        <v>1</v>
      </c>
      <c r="C762">
        <f>YEAR(data_tab[[#This Row],[Order Date]])</f>
        <v>2026</v>
      </c>
      <c r="D762" t="s">
        <v>31</v>
      </c>
      <c r="E762" t="s">
        <v>32</v>
      </c>
      <c r="F762" t="s">
        <v>21</v>
      </c>
      <c r="G762" t="s">
        <v>39</v>
      </c>
      <c r="H762">
        <v>7</v>
      </c>
      <c r="I762">
        <v>249109</v>
      </c>
      <c r="J762">
        <v>135284.50434243999</v>
      </c>
      <c r="K762" t="str">
        <f>IF(AND(data_tab[[#This Row],[Revenue]]="",data_tab[[#This Row],[Cost]]=""),"Remove",IF(OR(data_tab[[#This Row],[Revenue]]="",data_tab[[#This Row],[Cost]]=""),"Flag","Valid"))</f>
        <v>Valid</v>
      </c>
      <c r="L762" t="str">
        <f>IF((COUNTIFS(data_tab[Revenue],data_tab[[#This Row],[Revenue]],data_tab[Cost],data_tab[[#This Row],[Cost]]))&gt;1,"Duplicate","Unique")</f>
        <v>Unique</v>
      </c>
      <c r="M762">
        <f>data_tab[[#This Row],[Revenue]]-data_tab[[#This Row],[Cost]]</f>
        <v>113824.49565756001</v>
      </c>
      <c r="N762" t="str">
        <f>IF(data_tab[[#This Row],[Revenue]]&lt;0,"Return","Sale")</f>
        <v>Sale</v>
      </c>
    </row>
    <row r="763" spans="1:14" hidden="1">
      <c r="A763" s="1">
        <v>46076</v>
      </c>
      <c r="B763">
        <f>MONTH(data_tab[[#This Row],[Order Date]])</f>
        <v>2</v>
      </c>
      <c r="C763">
        <f>YEAR(data_tab[[#This Row],[Order Date]])</f>
        <v>2026</v>
      </c>
      <c r="D763" t="s">
        <v>29</v>
      </c>
      <c r="E763" t="s">
        <v>15</v>
      </c>
      <c r="F763" t="s">
        <v>24</v>
      </c>
      <c r="G763" t="s">
        <v>17</v>
      </c>
      <c r="H763">
        <v>4</v>
      </c>
      <c r="I763">
        <v>35756</v>
      </c>
      <c r="J763">
        <v>22977.897243816598</v>
      </c>
      <c r="K763" t="str">
        <f>IF(AND(data_tab[[#This Row],[Revenue]]="",data_tab[[#This Row],[Cost]]=""),"Remove",IF(OR(data_tab[[#This Row],[Revenue]]="",data_tab[[#This Row],[Cost]]=""),"Flag","Valid"))</f>
        <v>Valid</v>
      </c>
      <c r="L763" t="str">
        <f>IF((COUNTIFS(data_tab[Revenue],data_tab[[#This Row],[Revenue]],data_tab[Cost],data_tab[[#This Row],[Cost]]))&gt;1,"Duplicate","Unique")</f>
        <v>Duplicate</v>
      </c>
      <c r="M763">
        <f>data_tab[[#This Row],[Revenue]]-data_tab[[#This Row],[Cost]]</f>
        <v>12778.102756183402</v>
      </c>
      <c r="N763" t="str">
        <f>IF(data_tab[[#This Row],[Revenue]]&lt;0,"Return","Sale")</f>
        <v>Sale</v>
      </c>
    </row>
    <row r="764" spans="1:14" hidden="1">
      <c r="A764" s="1">
        <v>46122</v>
      </c>
      <c r="B764">
        <f>MONTH(data_tab[[#This Row],[Order Date]])</f>
        <v>4</v>
      </c>
      <c r="C764">
        <f>YEAR(data_tab[[#This Row],[Order Date]])</f>
        <v>2026</v>
      </c>
      <c r="D764" t="s">
        <v>14</v>
      </c>
      <c r="E764" t="s">
        <v>15</v>
      </c>
      <c r="F764" t="s">
        <v>16</v>
      </c>
      <c r="G764" t="s">
        <v>41</v>
      </c>
      <c r="H764">
        <v>10</v>
      </c>
      <c r="I764">
        <v>261810</v>
      </c>
      <c r="J764">
        <v>135506.46184110001</v>
      </c>
      <c r="K764" t="str">
        <f>IF(AND(data_tab[[#This Row],[Revenue]]="",data_tab[[#This Row],[Cost]]=""),"Remove",IF(OR(data_tab[[#This Row],[Revenue]]="",data_tab[[#This Row],[Cost]]=""),"Flag","Valid"))</f>
        <v>Valid</v>
      </c>
      <c r="L764" t="str">
        <f>IF((COUNTIFS(data_tab[Revenue],data_tab[[#This Row],[Revenue]],data_tab[Cost],data_tab[[#This Row],[Cost]]))&gt;1,"Duplicate","Unique")</f>
        <v>Unique</v>
      </c>
      <c r="M764">
        <f>data_tab[[#This Row],[Revenue]]-data_tab[[#This Row],[Cost]]</f>
        <v>126303.53815889999</v>
      </c>
      <c r="N764" t="str">
        <f>IF(data_tab[[#This Row],[Revenue]]&lt;0,"Return","Sale")</f>
        <v>Sale</v>
      </c>
    </row>
    <row r="765" spans="1:14">
      <c r="A765" s="1">
        <v>46150</v>
      </c>
      <c r="B765">
        <f>MONTH(data_tab[[#This Row],[Order Date]])</f>
        <v>5</v>
      </c>
      <c r="C765">
        <f>YEAR(data_tab[[#This Row],[Order Date]])</f>
        <v>2026</v>
      </c>
      <c r="D765" t="s">
        <v>40</v>
      </c>
      <c r="E765" t="s">
        <v>15</v>
      </c>
      <c r="F765" t="s">
        <v>21</v>
      </c>
      <c r="G765" t="s">
        <v>37</v>
      </c>
      <c r="H765">
        <v>2</v>
      </c>
      <c r="I765">
        <v>82624</v>
      </c>
      <c r="J765">
        <v>52031.779570008803</v>
      </c>
      <c r="K765" t="str">
        <f>IF(AND(data_tab[[#This Row],[Revenue]]="",data_tab[[#This Row],[Cost]]=""),"Remove",IF(OR(data_tab[[#This Row],[Revenue]]="",data_tab[[#This Row],[Cost]]=""),"Flag","Valid"))</f>
        <v>Valid</v>
      </c>
      <c r="L765" t="str">
        <f>IF((COUNTIFS(data_tab[Revenue],data_tab[[#This Row],[Revenue]],data_tab[Cost],data_tab[[#This Row],[Cost]]))&gt;1,"Duplicate","Unique")</f>
        <v>Unique</v>
      </c>
      <c r="M765">
        <f>data_tab[[#This Row],[Revenue]]-data_tab[[#This Row],[Cost]]</f>
        <v>30592.220429991197</v>
      </c>
      <c r="N765" t="str">
        <f>IF(data_tab[[#This Row],[Revenue]]&lt;0,"Return","Sale")</f>
        <v>Sale</v>
      </c>
    </row>
    <row r="766" spans="1:14" hidden="1">
      <c r="A766" s="1">
        <v>46200</v>
      </c>
      <c r="B766">
        <f>MONTH(data_tab[[#This Row],[Order Date]])</f>
        <v>6</v>
      </c>
      <c r="C766">
        <f>YEAR(data_tab[[#This Row],[Order Date]])</f>
        <v>2026</v>
      </c>
      <c r="D766" t="s">
        <v>31</v>
      </c>
      <c r="E766" t="s">
        <v>32</v>
      </c>
      <c r="F766" t="s">
        <v>16</v>
      </c>
      <c r="G766" t="s">
        <v>41</v>
      </c>
      <c r="H766">
        <v>8</v>
      </c>
      <c r="I766">
        <v>51392</v>
      </c>
      <c r="J766">
        <v>32584.6909479469</v>
      </c>
      <c r="K766" t="str">
        <f>IF(AND(data_tab[[#This Row],[Revenue]]="",data_tab[[#This Row],[Cost]]=""),"Remove",IF(OR(data_tab[[#This Row],[Revenue]]="",data_tab[[#This Row],[Cost]]=""),"Flag","Valid"))</f>
        <v>Valid</v>
      </c>
      <c r="L766" t="str">
        <f>IF((COUNTIFS(data_tab[Revenue],data_tab[[#This Row],[Revenue]],data_tab[Cost],data_tab[[#This Row],[Cost]]))&gt;1,"Duplicate","Unique")</f>
        <v>Unique</v>
      </c>
      <c r="M766">
        <f>data_tab[[#This Row],[Revenue]]-data_tab[[#This Row],[Cost]]</f>
        <v>18807.3090520531</v>
      </c>
      <c r="N766" t="str">
        <f>IF(data_tab[[#This Row],[Revenue]]&lt;0,"Return","Sale")</f>
        <v>Sale</v>
      </c>
    </row>
    <row r="767" spans="1:14" hidden="1">
      <c r="A767" s="1">
        <v>46186</v>
      </c>
      <c r="B767">
        <f>MONTH(data_tab[[#This Row],[Order Date]])</f>
        <v>6</v>
      </c>
      <c r="C767">
        <f>YEAR(data_tab[[#This Row],[Order Date]])</f>
        <v>2026</v>
      </c>
      <c r="D767" t="s">
        <v>14</v>
      </c>
      <c r="E767" t="s">
        <v>15</v>
      </c>
      <c r="F767" t="s">
        <v>24</v>
      </c>
      <c r="G767" t="s">
        <v>17</v>
      </c>
      <c r="H767">
        <v>1</v>
      </c>
      <c r="I767">
        <v>42393</v>
      </c>
      <c r="J767">
        <v>34066.014854661102</v>
      </c>
      <c r="K767" t="str">
        <f>IF(AND(data_tab[[#This Row],[Revenue]]="",data_tab[[#This Row],[Cost]]=""),"Remove",IF(OR(data_tab[[#This Row],[Revenue]]="",data_tab[[#This Row],[Cost]]=""),"Flag","Valid"))</f>
        <v>Valid</v>
      </c>
      <c r="L767" t="str">
        <f>IF((COUNTIFS(data_tab[Revenue],data_tab[[#This Row],[Revenue]],data_tab[Cost],data_tab[[#This Row],[Cost]]))&gt;1,"Duplicate","Unique")</f>
        <v>Unique</v>
      </c>
      <c r="M767">
        <f>data_tab[[#This Row],[Revenue]]-data_tab[[#This Row],[Cost]]</f>
        <v>8326.9851453388983</v>
      </c>
      <c r="N767" t="str">
        <f>IF(data_tab[[#This Row],[Revenue]]&lt;0,"Return","Sale")</f>
        <v>Sale</v>
      </c>
    </row>
    <row r="768" spans="1:14" hidden="1">
      <c r="A768" s="1">
        <v>46085</v>
      </c>
      <c r="B768">
        <f>MONTH(data_tab[[#This Row],[Order Date]])</f>
        <v>3</v>
      </c>
      <c r="C768">
        <f>YEAR(data_tab[[#This Row],[Order Date]])</f>
        <v>2026</v>
      </c>
      <c r="D768" t="s">
        <v>35</v>
      </c>
      <c r="E768" t="s">
        <v>32</v>
      </c>
      <c r="F768" t="s">
        <v>36</v>
      </c>
      <c r="G768" t="s">
        <v>37</v>
      </c>
      <c r="H768">
        <v>4</v>
      </c>
      <c r="I768">
        <v>47756</v>
      </c>
      <c r="J768">
        <v>31055.687505545098</v>
      </c>
      <c r="K768" t="str">
        <f>IF(AND(data_tab[[#This Row],[Revenue]]="",data_tab[[#This Row],[Cost]]=""),"Remove",IF(OR(data_tab[[#This Row],[Revenue]]="",data_tab[[#This Row],[Cost]]=""),"Flag","Valid"))</f>
        <v>Valid</v>
      </c>
      <c r="L768" t="str">
        <f>IF((COUNTIFS(data_tab[Revenue],data_tab[[#This Row],[Revenue]],data_tab[Cost],data_tab[[#This Row],[Cost]]))&gt;1,"Duplicate","Unique")</f>
        <v>Unique</v>
      </c>
      <c r="M768">
        <f>data_tab[[#This Row],[Revenue]]-data_tab[[#This Row],[Cost]]</f>
        <v>16700.312494454902</v>
      </c>
      <c r="N768" t="str">
        <f>IF(data_tab[[#This Row],[Revenue]]&lt;0,"Return","Sale")</f>
        <v>Sale</v>
      </c>
    </row>
    <row r="769" spans="1:14" hidden="1">
      <c r="A769" s="1">
        <v>46136</v>
      </c>
      <c r="B769">
        <f>MONTH(data_tab[[#This Row],[Order Date]])</f>
        <v>4</v>
      </c>
      <c r="C769">
        <f>YEAR(data_tab[[#This Row],[Order Date]])</f>
        <v>2026</v>
      </c>
      <c r="D769" t="s">
        <v>35</v>
      </c>
      <c r="E769" t="s">
        <v>32</v>
      </c>
      <c r="F769" t="s">
        <v>16</v>
      </c>
      <c r="G769" t="s">
        <v>41</v>
      </c>
      <c r="H769">
        <v>1</v>
      </c>
      <c r="I769">
        <v>36135</v>
      </c>
      <c r="J769">
        <v>29511.884814081699</v>
      </c>
      <c r="K769" t="str">
        <f>IF(AND(data_tab[[#This Row],[Revenue]]="",data_tab[[#This Row],[Cost]]=""),"Remove",IF(OR(data_tab[[#This Row],[Revenue]]="",data_tab[[#This Row],[Cost]]=""),"Flag","Valid"))</f>
        <v>Valid</v>
      </c>
      <c r="L769" t="str">
        <f>IF((COUNTIFS(data_tab[Revenue],data_tab[[#This Row],[Revenue]],data_tab[Cost],data_tab[[#This Row],[Cost]]))&gt;1,"Duplicate","Unique")</f>
        <v>Unique</v>
      </c>
      <c r="M769">
        <f>data_tab[[#This Row],[Revenue]]-data_tab[[#This Row],[Cost]]</f>
        <v>6623.115185918301</v>
      </c>
      <c r="N769" t="str">
        <f>IF(data_tab[[#This Row],[Revenue]]&lt;0,"Return","Sale")</f>
        <v>Sale</v>
      </c>
    </row>
    <row r="770" spans="1:14" hidden="1">
      <c r="A770" s="1">
        <v>46081</v>
      </c>
      <c r="B770">
        <f>MONTH(data_tab[[#This Row],[Order Date]])</f>
        <v>2</v>
      </c>
      <c r="C770">
        <f>YEAR(data_tab[[#This Row],[Order Date]])</f>
        <v>2026</v>
      </c>
      <c r="D770" t="s">
        <v>31</v>
      </c>
      <c r="E770" t="s">
        <v>32</v>
      </c>
      <c r="F770" t="s">
        <v>21</v>
      </c>
      <c r="G770" t="s">
        <v>26</v>
      </c>
      <c r="H770">
        <v>1</v>
      </c>
      <c r="I770">
        <v>45581</v>
      </c>
      <c r="J770">
        <v>40810.971624664897</v>
      </c>
      <c r="K770" t="str">
        <f>IF(AND(data_tab[[#This Row],[Revenue]]="",data_tab[[#This Row],[Cost]]=""),"Remove",IF(OR(data_tab[[#This Row],[Revenue]]="",data_tab[[#This Row],[Cost]]=""),"Flag","Valid"))</f>
        <v>Valid</v>
      </c>
      <c r="L770" t="str">
        <f>IF((COUNTIFS(data_tab[Revenue],data_tab[[#This Row],[Revenue]],data_tab[Cost],data_tab[[#This Row],[Cost]]))&gt;1,"Duplicate","Unique")</f>
        <v>Unique</v>
      </c>
      <c r="M770">
        <f>data_tab[[#This Row],[Revenue]]-data_tab[[#This Row],[Cost]]</f>
        <v>4770.0283753351032</v>
      </c>
      <c r="N770" t="str">
        <f>IF(data_tab[[#This Row],[Revenue]]&lt;0,"Return","Sale")</f>
        <v>Sale</v>
      </c>
    </row>
    <row r="771" spans="1:14" hidden="1">
      <c r="A771" s="1">
        <v>46120</v>
      </c>
      <c r="B771">
        <f>MONTH(data_tab[[#This Row],[Order Date]])</f>
        <v>4</v>
      </c>
      <c r="C771">
        <f>YEAR(data_tab[[#This Row],[Order Date]])</f>
        <v>2026</v>
      </c>
      <c r="D771" t="s">
        <v>14</v>
      </c>
      <c r="E771" t="s">
        <v>15</v>
      </c>
      <c r="F771" t="s">
        <v>24</v>
      </c>
      <c r="G771" t="s">
        <v>39</v>
      </c>
      <c r="H771">
        <v>8</v>
      </c>
      <c r="I771">
        <v>52688</v>
      </c>
      <c r="J771">
        <v>46442.600309743299</v>
      </c>
      <c r="K771" t="str">
        <f>IF(AND(data_tab[[#This Row],[Revenue]]="",data_tab[[#This Row],[Cost]]=""),"Remove",IF(OR(data_tab[[#This Row],[Revenue]]="",data_tab[[#This Row],[Cost]]=""),"Flag","Valid"))</f>
        <v>Valid</v>
      </c>
      <c r="L771" t="str">
        <f>IF((COUNTIFS(data_tab[Revenue],data_tab[[#This Row],[Revenue]],data_tab[Cost],data_tab[[#This Row],[Cost]]))&gt;1,"Duplicate","Unique")</f>
        <v>Unique</v>
      </c>
      <c r="M771">
        <f>data_tab[[#This Row],[Revenue]]-data_tab[[#This Row],[Cost]]</f>
        <v>6245.3996902567014</v>
      </c>
      <c r="N771" t="str">
        <f>IF(data_tab[[#This Row],[Revenue]]&lt;0,"Return","Sale")</f>
        <v>Sale</v>
      </c>
    </row>
    <row r="772" spans="1:14" hidden="1">
      <c r="A772" s="1">
        <v>46055</v>
      </c>
      <c r="B772">
        <f>MONTH(data_tab[[#This Row],[Order Date]])</f>
        <v>2</v>
      </c>
      <c r="C772">
        <f>YEAR(data_tab[[#This Row],[Order Date]])</f>
        <v>2026</v>
      </c>
      <c r="D772" t="s">
        <v>40</v>
      </c>
      <c r="E772" t="s">
        <v>15</v>
      </c>
      <c r="F772" t="s">
        <v>21</v>
      </c>
      <c r="G772" t="s">
        <v>17</v>
      </c>
      <c r="H772">
        <v>9</v>
      </c>
      <c r="I772">
        <v>64098</v>
      </c>
      <c r="J772">
        <v>42977.447897709397</v>
      </c>
      <c r="K772" t="str">
        <f>IF(AND(data_tab[[#This Row],[Revenue]]="",data_tab[[#This Row],[Cost]]=""),"Remove",IF(OR(data_tab[[#This Row],[Revenue]]="",data_tab[[#This Row],[Cost]]=""),"Flag","Valid"))</f>
        <v>Valid</v>
      </c>
      <c r="L772" t="str">
        <f>IF((COUNTIFS(data_tab[Revenue],data_tab[[#This Row],[Revenue]],data_tab[Cost],data_tab[[#This Row],[Cost]]))&gt;1,"Duplicate","Unique")</f>
        <v>Unique</v>
      </c>
      <c r="M772">
        <f>data_tab[[#This Row],[Revenue]]-data_tab[[#This Row],[Cost]]</f>
        <v>21120.552102290603</v>
      </c>
      <c r="N772" t="str">
        <f>IF(data_tab[[#This Row],[Revenue]]&lt;0,"Return","Sale")</f>
        <v>Sale</v>
      </c>
    </row>
    <row r="773" spans="1:14" hidden="1">
      <c r="A773" s="1">
        <v>46131</v>
      </c>
      <c r="B773">
        <f>MONTH(data_tab[[#This Row],[Order Date]])</f>
        <v>4</v>
      </c>
      <c r="C773">
        <f>YEAR(data_tab[[#This Row],[Order Date]])</f>
        <v>2026</v>
      </c>
      <c r="D773" t="s">
        <v>31</v>
      </c>
      <c r="E773" t="s">
        <v>32</v>
      </c>
      <c r="F773" t="s">
        <v>16</v>
      </c>
      <c r="G773" t="s">
        <v>37</v>
      </c>
      <c r="H773">
        <v>10</v>
      </c>
      <c r="I773">
        <v>313770</v>
      </c>
      <c r="J773">
        <v>278342.33104605402</v>
      </c>
      <c r="K773" t="str">
        <f>IF(AND(data_tab[[#This Row],[Revenue]]="",data_tab[[#This Row],[Cost]]=""),"Remove",IF(OR(data_tab[[#This Row],[Revenue]]="",data_tab[[#This Row],[Cost]]=""),"Flag","Valid"))</f>
        <v>Valid</v>
      </c>
      <c r="L773" t="str">
        <f>IF((COUNTIFS(data_tab[Revenue],data_tab[[#This Row],[Revenue]],data_tab[Cost],data_tab[[#This Row],[Cost]]))&gt;1,"Duplicate","Unique")</f>
        <v>Unique</v>
      </c>
      <c r="M773">
        <f>data_tab[[#This Row],[Revenue]]-data_tab[[#This Row],[Cost]]</f>
        <v>35427.668953945977</v>
      </c>
      <c r="N773" t="str">
        <f>IF(data_tab[[#This Row],[Revenue]]&lt;0,"Return","Sale")</f>
        <v>Sale</v>
      </c>
    </row>
    <row r="774" spans="1:14" hidden="1">
      <c r="A774" s="1">
        <v>46115</v>
      </c>
      <c r="B774">
        <f>MONTH(data_tab[[#This Row],[Order Date]])</f>
        <v>4</v>
      </c>
      <c r="C774">
        <f>YEAR(data_tab[[#This Row],[Order Date]])</f>
        <v>2026</v>
      </c>
      <c r="D774" t="s">
        <v>29</v>
      </c>
      <c r="E774" t="s">
        <v>15</v>
      </c>
      <c r="F774" t="s">
        <v>36</v>
      </c>
      <c r="G774" t="s">
        <v>26</v>
      </c>
      <c r="H774">
        <v>10</v>
      </c>
      <c r="I774">
        <v>-304050</v>
      </c>
      <c r="J774">
        <v>244495.66136150001</v>
      </c>
      <c r="K774" t="str">
        <f>IF(AND(data_tab[[#This Row],[Revenue]]="",data_tab[[#This Row],[Cost]]=""),"Remove",IF(OR(data_tab[[#This Row],[Revenue]]="",data_tab[[#This Row],[Cost]]=""),"Flag","Valid"))</f>
        <v>Valid</v>
      </c>
      <c r="L774" t="str">
        <f>IF((COUNTIFS(data_tab[Revenue],data_tab[[#This Row],[Revenue]],data_tab[Cost],data_tab[[#This Row],[Cost]]))&gt;1,"Duplicate","Unique")</f>
        <v>Unique</v>
      </c>
      <c r="M774">
        <f>data_tab[[#This Row],[Revenue]]-data_tab[[#This Row],[Cost]]</f>
        <v>-548545.66136150004</v>
      </c>
      <c r="N774" t="str">
        <f>IF(data_tab[[#This Row],[Revenue]]&lt;0,"Return","Sale")</f>
        <v>Return</v>
      </c>
    </row>
    <row r="775" spans="1:14" hidden="1">
      <c r="A775" s="1">
        <v>46120</v>
      </c>
      <c r="B775">
        <f>MONTH(data_tab[[#This Row],[Order Date]])</f>
        <v>4</v>
      </c>
      <c r="C775">
        <f>YEAR(data_tab[[#This Row],[Order Date]])</f>
        <v>2026</v>
      </c>
      <c r="D775" t="s">
        <v>35</v>
      </c>
      <c r="E775" t="s">
        <v>32</v>
      </c>
      <c r="F775" t="s">
        <v>21</v>
      </c>
      <c r="G775" t="s">
        <v>26</v>
      </c>
      <c r="H775">
        <v>3</v>
      </c>
      <c r="I775">
        <v>56583</v>
      </c>
      <c r="J775">
        <v>36902.306310214903</v>
      </c>
      <c r="K775" t="str">
        <f>IF(AND(data_tab[[#This Row],[Revenue]]="",data_tab[[#This Row],[Cost]]=""),"Remove",IF(OR(data_tab[[#This Row],[Revenue]]="",data_tab[[#This Row],[Cost]]=""),"Flag","Valid"))</f>
        <v>Valid</v>
      </c>
      <c r="L775" t="str">
        <f>IF((COUNTIFS(data_tab[Revenue],data_tab[[#This Row],[Revenue]],data_tab[Cost],data_tab[[#This Row],[Cost]]))&gt;1,"Duplicate","Unique")</f>
        <v>Unique</v>
      </c>
      <c r="M775">
        <f>data_tab[[#This Row],[Revenue]]-data_tab[[#This Row],[Cost]]</f>
        <v>19680.693689785097</v>
      </c>
      <c r="N775" t="str">
        <f>IF(data_tab[[#This Row],[Revenue]]&lt;0,"Return","Sale")</f>
        <v>Sale</v>
      </c>
    </row>
    <row r="776" spans="1:14" hidden="1">
      <c r="A776" s="1">
        <v>46117</v>
      </c>
      <c r="B776">
        <f>MONTH(data_tab[[#This Row],[Order Date]])</f>
        <v>4</v>
      </c>
      <c r="C776">
        <f>YEAR(data_tab[[#This Row],[Order Date]])</f>
        <v>2026</v>
      </c>
      <c r="D776" t="s">
        <v>31</v>
      </c>
      <c r="E776" t="s">
        <v>32</v>
      </c>
      <c r="F776" t="s">
        <v>36</v>
      </c>
      <c r="G776" t="s">
        <v>17</v>
      </c>
      <c r="H776">
        <v>3</v>
      </c>
      <c r="I776">
        <v>43281</v>
      </c>
      <c r="J776">
        <v>21712.875365434498</v>
      </c>
      <c r="K776" t="str">
        <f>IF(AND(data_tab[[#This Row],[Revenue]]="",data_tab[[#This Row],[Cost]]=""),"Remove",IF(OR(data_tab[[#This Row],[Revenue]]="",data_tab[[#This Row],[Cost]]=""),"Flag","Valid"))</f>
        <v>Valid</v>
      </c>
      <c r="L776" t="str">
        <f>IF((COUNTIFS(data_tab[Revenue],data_tab[[#This Row],[Revenue]],data_tab[Cost],data_tab[[#This Row],[Cost]]))&gt;1,"Duplicate","Unique")</f>
        <v>Unique</v>
      </c>
      <c r="M776">
        <f>data_tab[[#This Row],[Revenue]]-data_tab[[#This Row],[Cost]]</f>
        <v>21568.124634565502</v>
      </c>
      <c r="N776" t="str">
        <f>IF(data_tab[[#This Row],[Revenue]]&lt;0,"Return","Sale")</f>
        <v>Sale</v>
      </c>
    </row>
    <row r="777" spans="1:14" hidden="1">
      <c r="A777" s="1">
        <v>46126</v>
      </c>
      <c r="B777">
        <f>MONTH(data_tab[[#This Row],[Order Date]])</f>
        <v>4</v>
      </c>
      <c r="C777">
        <f>YEAR(data_tab[[#This Row],[Order Date]])</f>
        <v>2026</v>
      </c>
      <c r="D777" t="s">
        <v>14</v>
      </c>
      <c r="E777" t="s">
        <v>15</v>
      </c>
      <c r="F777" t="s">
        <v>16</v>
      </c>
      <c r="G777" t="s">
        <v>33</v>
      </c>
      <c r="H777">
        <v>8</v>
      </c>
      <c r="I777">
        <v>177376</v>
      </c>
      <c r="J777">
        <v>134170.66323660201</v>
      </c>
      <c r="K777" t="str">
        <f>IF(AND(data_tab[[#This Row],[Revenue]]="",data_tab[[#This Row],[Cost]]=""),"Remove",IF(OR(data_tab[[#This Row],[Revenue]]="",data_tab[[#This Row],[Cost]]=""),"Flag","Valid"))</f>
        <v>Valid</v>
      </c>
      <c r="L777" t="str">
        <f>IF((COUNTIFS(data_tab[Revenue],data_tab[[#This Row],[Revenue]],data_tab[Cost],data_tab[[#This Row],[Cost]]))&gt;1,"Duplicate","Unique")</f>
        <v>Unique</v>
      </c>
      <c r="M777">
        <f>data_tab[[#This Row],[Revenue]]-data_tab[[#This Row],[Cost]]</f>
        <v>43205.336763397994</v>
      </c>
      <c r="N777" t="str">
        <f>IF(data_tab[[#This Row],[Revenue]]&lt;0,"Return","Sale")</f>
        <v>Sale</v>
      </c>
    </row>
    <row r="778" spans="1:14" hidden="1">
      <c r="A778" s="1">
        <v>46054</v>
      </c>
      <c r="B778">
        <f>MONTH(data_tab[[#This Row],[Order Date]])</f>
        <v>2</v>
      </c>
      <c r="C778">
        <f>YEAR(data_tab[[#This Row],[Order Date]])</f>
        <v>2026</v>
      </c>
      <c r="D778" t="s">
        <v>31</v>
      </c>
      <c r="E778" t="s">
        <v>32</v>
      </c>
      <c r="F778" t="s">
        <v>36</v>
      </c>
      <c r="G778" t="s">
        <v>37</v>
      </c>
      <c r="H778">
        <v>6</v>
      </c>
      <c r="I778">
        <v>212382</v>
      </c>
      <c r="J778">
        <v>166433.44869702001</v>
      </c>
      <c r="K778" t="str">
        <f>IF(AND(data_tab[[#This Row],[Revenue]]="",data_tab[[#This Row],[Cost]]=""),"Remove",IF(OR(data_tab[[#This Row],[Revenue]]="",data_tab[[#This Row],[Cost]]=""),"Flag","Valid"))</f>
        <v>Valid</v>
      </c>
      <c r="L778" t="str">
        <f>IF((COUNTIFS(data_tab[Revenue],data_tab[[#This Row],[Revenue]],data_tab[Cost],data_tab[[#This Row],[Cost]]))&gt;1,"Duplicate","Unique")</f>
        <v>Unique</v>
      </c>
      <c r="M778">
        <f>data_tab[[#This Row],[Revenue]]-data_tab[[#This Row],[Cost]]</f>
        <v>45948.551302979991</v>
      </c>
      <c r="N778" t="str">
        <f>IF(data_tab[[#This Row],[Revenue]]&lt;0,"Return","Sale")</f>
        <v>Sale</v>
      </c>
    </row>
    <row r="779" spans="1:14" hidden="1">
      <c r="A779" s="1">
        <v>46121</v>
      </c>
      <c r="B779">
        <f>MONTH(data_tab[[#This Row],[Order Date]])</f>
        <v>4</v>
      </c>
      <c r="C779">
        <f>YEAR(data_tab[[#This Row],[Order Date]])</f>
        <v>2026</v>
      </c>
      <c r="D779" t="s">
        <v>31</v>
      </c>
      <c r="E779" t="s">
        <v>32</v>
      </c>
      <c r="F779" t="s">
        <v>36</v>
      </c>
      <c r="G779" t="s">
        <v>39</v>
      </c>
      <c r="H779">
        <v>6</v>
      </c>
      <c r="J779">
        <v>203560.39370786599</v>
      </c>
      <c r="K779" t="str">
        <f>IF(AND(data_tab[[#This Row],[Revenue]]="",data_tab[[#This Row],[Cost]]=""),"Remove",IF(OR(data_tab[[#This Row],[Revenue]]="",data_tab[[#This Row],[Cost]]=""),"Flag","Valid"))</f>
        <v>Flag</v>
      </c>
      <c r="L779" t="str">
        <f>IF((COUNTIFS(data_tab[Revenue],data_tab[[#This Row],[Revenue]],data_tab[Cost],data_tab[[#This Row],[Cost]]))&gt;1,"Duplicate","Unique")</f>
        <v>Unique</v>
      </c>
      <c r="M779">
        <f>data_tab[[#This Row],[Revenue]]-data_tab[[#This Row],[Cost]]</f>
        <v>-203560.39370786599</v>
      </c>
      <c r="N779" t="str">
        <f>IF(data_tab[[#This Row],[Revenue]]&lt;0,"Return","Sale")</f>
        <v>Sale</v>
      </c>
    </row>
    <row r="780" spans="1:14" hidden="1">
      <c r="A780" s="1">
        <v>46177</v>
      </c>
      <c r="B780">
        <f>MONTH(data_tab[[#This Row],[Order Date]])</f>
        <v>6</v>
      </c>
      <c r="C780">
        <f>YEAR(data_tab[[#This Row],[Order Date]])</f>
        <v>2026</v>
      </c>
      <c r="D780" t="s">
        <v>35</v>
      </c>
      <c r="E780" t="s">
        <v>32</v>
      </c>
      <c r="F780" t="s">
        <v>21</v>
      </c>
      <c r="G780" t="s">
        <v>26</v>
      </c>
      <c r="H780">
        <v>10</v>
      </c>
      <c r="J780">
        <v>380020.07294954802</v>
      </c>
      <c r="K780" t="str">
        <f>IF(AND(data_tab[[#This Row],[Revenue]]="",data_tab[[#This Row],[Cost]]=""),"Remove",IF(OR(data_tab[[#This Row],[Revenue]]="",data_tab[[#This Row],[Cost]]=""),"Flag","Valid"))</f>
        <v>Flag</v>
      </c>
      <c r="L780" t="str">
        <f>IF((COUNTIFS(data_tab[Revenue],data_tab[[#This Row],[Revenue]],data_tab[Cost],data_tab[[#This Row],[Cost]]))&gt;1,"Duplicate","Unique")</f>
        <v>Unique</v>
      </c>
      <c r="M780">
        <f>data_tab[[#This Row],[Revenue]]-data_tab[[#This Row],[Cost]]</f>
        <v>-380020.07294954802</v>
      </c>
      <c r="N780" t="str">
        <f>IF(data_tab[[#This Row],[Revenue]]&lt;0,"Return","Sale")</f>
        <v>Sale</v>
      </c>
    </row>
    <row r="781" spans="1:14" hidden="1">
      <c r="A781" s="1">
        <v>46121</v>
      </c>
      <c r="B781">
        <f>MONTH(data_tab[[#This Row],[Order Date]])</f>
        <v>4</v>
      </c>
      <c r="C781">
        <f>YEAR(data_tab[[#This Row],[Order Date]])</f>
        <v>2026</v>
      </c>
      <c r="D781" t="s">
        <v>20</v>
      </c>
      <c r="E781" t="s">
        <v>15</v>
      </c>
      <c r="F781" t="s">
        <v>21</v>
      </c>
      <c r="G781" t="s">
        <v>33</v>
      </c>
      <c r="H781">
        <v>3</v>
      </c>
      <c r="I781">
        <v>89925</v>
      </c>
      <c r="J781">
        <v>54058.278337310003</v>
      </c>
      <c r="K781" t="str">
        <f>IF(AND(data_tab[[#This Row],[Revenue]]="",data_tab[[#This Row],[Cost]]=""),"Remove",IF(OR(data_tab[[#This Row],[Revenue]]="",data_tab[[#This Row],[Cost]]=""),"Flag","Valid"))</f>
        <v>Valid</v>
      </c>
      <c r="L781" t="str">
        <f>IF((COUNTIFS(data_tab[Revenue],data_tab[[#This Row],[Revenue]],data_tab[Cost],data_tab[[#This Row],[Cost]]))&gt;1,"Duplicate","Unique")</f>
        <v>Unique</v>
      </c>
      <c r="M781">
        <f>data_tab[[#This Row],[Revenue]]-data_tab[[#This Row],[Cost]]</f>
        <v>35866.721662689997</v>
      </c>
      <c r="N781" t="str">
        <f>IF(data_tab[[#This Row],[Revenue]]&lt;0,"Return","Sale")</f>
        <v>Sale</v>
      </c>
    </row>
    <row r="782" spans="1:14" hidden="1">
      <c r="A782" s="1">
        <v>46120</v>
      </c>
      <c r="B782">
        <f>MONTH(data_tab[[#This Row],[Order Date]])</f>
        <v>4</v>
      </c>
      <c r="C782">
        <f>YEAR(data_tab[[#This Row],[Order Date]])</f>
        <v>2026</v>
      </c>
      <c r="D782" t="s">
        <v>23</v>
      </c>
      <c r="E782" t="s">
        <v>15</v>
      </c>
      <c r="F782" t="s">
        <v>24</v>
      </c>
      <c r="G782" t="s">
        <v>39</v>
      </c>
      <c r="H782">
        <v>10</v>
      </c>
      <c r="I782">
        <v>245700</v>
      </c>
      <c r="J782">
        <v>202872.32996989699</v>
      </c>
      <c r="K782" t="str">
        <f>IF(AND(data_tab[[#This Row],[Revenue]]="",data_tab[[#This Row],[Cost]]=""),"Remove",IF(OR(data_tab[[#This Row],[Revenue]]="",data_tab[[#This Row],[Cost]]=""),"Flag","Valid"))</f>
        <v>Valid</v>
      </c>
      <c r="L782" t="str">
        <f>IF((COUNTIFS(data_tab[Revenue],data_tab[[#This Row],[Revenue]],data_tab[Cost],data_tab[[#This Row],[Cost]]))&gt;1,"Duplicate","Unique")</f>
        <v>Unique</v>
      </c>
      <c r="M782">
        <f>data_tab[[#This Row],[Revenue]]-data_tab[[#This Row],[Cost]]</f>
        <v>42827.670030103007</v>
      </c>
      <c r="N782" t="str">
        <f>IF(data_tab[[#This Row],[Revenue]]&lt;0,"Return","Sale")</f>
        <v>Sale</v>
      </c>
    </row>
    <row r="783" spans="1:14" hidden="1">
      <c r="A783" s="1">
        <v>46201</v>
      </c>
      <c r="B783">
        <f>MONTH(data_tab[[#This Row],[Order Date]])</f>
        <v>6</v>
      </c>
      <c r="C783">
        <f>YEAR(data_tab[[#This Row],[Order Date]])</f>
        <v>2026</v>
      </c>
      <c r="D783" t="s">
        <v>23</v>
      </c>
      <c r="E783" t="s">
        <v>15</v>
      </c>
      <c r="F783" t="s">
        <v>36</v>
      </c>
      <c r="G783" t="s">
        <v>39</v>
      </c>
      <c r="H783">
        <v>2</v>
      </c>
      <c r="I783">
        <v>13154</v>
      </c>
      <c r="J783">
        <v>10648.1295080403</v>
      </c>
      <c r="K783" t="str">
        <f>IF(AND(data_tab[[#This Row],[Revenue]]="",data_tab[[#This Row],[Cost]]=""),"Remove",IF(OR(data_tab[[#This Row],[Revenue]]="",data_tab[[#This Row],[Cost]]=""),"Flag","Valid"))</f>
        <v>Valid</v>
      </c>
      <c r="L783" t="str">
        <f>IF((COUNTIFS(data_tab[Revenue],data_tab[[#This Row],[Revenue]],data_tab[Cost],data_tab[[#This Row],[Cost]]))&gt;1,"Duplicate","Unique")</f>
        <v>Unique</v>
      </c>
      <c r="M783">
        <f>data_tab[[#This Row],[Revenue]]-data_tab[[#This Row],[Cost]]</f>
        <v>2505.8704919597003</v>
      </c>
      <c r="N783" t="str">
        <f>IF(data_tab[[#This Row],[Revenue]]&lt;0,"Return","Sale")</f>
        <v>Sale</v>
      </c>
    </row>
    <row r="784" spans="1:14" hidden="1">
      <c r="A784" s="1">
        <v>46133</v>
      </c>
      <c r="B784">
        <f>MONTH(data_tab[[#This Row],[Order Date]])</f>
        <v>4</v>
      </c>
      <c r="C784">
        <f>YEAR(data_tab[[#This Row],[Order Date]])</f>
        <v>2026</v>
      </c>
      <c r="D784" t="s">
        <v>35</v>
      </c>
      <c r="E784" t="s">
        <v>32</v>
      </c>
      <c r="F784" t="s">
        <v>21</v>
      </c>
      <c r="G784" t="s">
        <v>41</v>
      </c>
      <c r="H784">
        <v>3</v>
      </c>
      <c r="I784">
        <v>44931</v>
      </c>
      <c r="J784">
        <v>31208.556063514101</v>
      </c>
      <c r="K784" t="str">
        <f>IF(AND(data_tab[[#This Row],[Revenue]]="",data_tab[[#This Row],[Cost]]=""),"Remove",IF(OR(data_tab[[#This Row],[Revenue]]="",data_tab[[#This Row],[Cost]]=""),"Flag","Valid"))</f>
        <v>Valid</v>
      </c>
      <c r="L784" t="str">
        <f>IF((COUNTIFS(data_tab[Revenue],data_tab[[#This Row],[Revenue]],data_tab[Cost],data_tab[[#This Row],[Cost]]))&gt;1,"Duplicate","Unique")</f>
        <v>Unique</v>
      </c>
      <c r="M784">
        <f>data_tab[[#This Row],[Revenue]]-data_tab[[#This Row],[Cost]]</f>
        <v>13722.443936485899</v>
      </c>
      <c r="N784" t="str">
        <f>IF(data_tab[[#This Row],[Revenue]]&lt;0,"Return","Sale")</f>
        <v>Sale</v>
      </c>
    </row>
    <row r="785" spans="1:14" hidden="1">
      <c r="A785" s="1">
        <v>46077</v>
      </c>
      <c r="B785">
        <f>MONTH(data_tab[[#This Row],[Order Date]])</f>
        <v>2</v>
      </c>
      <c r="C785">
        <f>YEAR(data_tab[[#This Row],[Order Date]])</f>
        <v>2026</v>
      </c>
      <c r="D785" t="s">
        <v>20</v>
      </c>
      <c r="E785" t="s">
        <v>15</v>
      </c>
      <c r="F785" t="s">
        <v>21</v>
      </c>
      <c r="G785" t="s">
        <v>17</v>
      </c>
      <c r="H785">
        <v>5</v>
      </c>
      <c r="I785">
        <v>143950</v>
      </c>
      <c r="J785">
        <v>97352.259297022902</v>
      </c>
      <c r="K785" t="str">
        <f>IF(AND(data_tab[[#This Row],[Revenue]]="",data_tab[[#This Row],[Cost]]=""),"Remove",IF(OR(data_tab[[#This Row],[Revenue]]="",data_tab[[#This Row],[Cost]]=""),"Flag","Valid"))</f>
        <v>Valid</v>
      </c>
      <c r="L785" t="str">
        <f>IF((COUNTIFS(data_tab[Revenue],data_tab[[#This Row],[Revenue]],data_tab[Cost],data_tab[[#This Row],[Cost]]))&gt;1,"Duplicate","Unique")</f>
        <v>Unique</v>
      </c>
      <c r="M785">
        <f>data_tab[[#This Row],[Revenue]]-data_tab[[#This Row],[Cost]]</f>
        <v>46597.740702977098</v>
      </c>
      <c r="N785" t="str">
        <f>IF(data_tab[[#This Row],[Revenue]]&lt;0,"Return","Sale")</f>
        <v>Sale</v>
      </c>
    </row>
    <row r="786" spans="1:14" hidden="1">
      <c r="A786" s="1">
        <v>46043</v>
      </c>
      <c r="B786">
        <f>MONTH(data_tab[[#This Row],[Order Date]])</f>
        <v>1</v>
      </c>
      <c r="C786">
        <f>YEAR(data_tab[[#This Row],[Order Date]])</f>
        <v>2026</v>
      </c>
      <c r="D786" t="s">
        <v>35</v>
      </c>
      <c r="E786" t="s">
        <v>32</v>
      </c>
      <c r="F786" t="s">
        <v>24</v>
      </c>
      <c r="G786" t="s">
        <v>37</v>
      </c>
      <c r="H786">
        <v>1</v>
      </c>
      <c r="I786">
        <v>-40380</v>
      </c>
      <c r="J786">
        <v>23982.168641678902</v>
      </c>
      <c r="K786" t="str">
        <f>IF(AND(data_tab[[#This Row],[Revenue]]="",data_tab[[#This Row],[Cost]]=""),"Remove",IF(OR(data_tab[[#This Row],[Revenue]]="",data_tab[[#This Row],[Cost]]=""),"Flag","Valid"))</f>
        <v>Valid</v>
      </c>
      <c r="L786" t="str">
        <f>IF((COUNTIFS(data_tab[Revenue],data_tab[[#This Row],[Revenue]],data_tab[Cost],data_tab[[#This Row],[Cost]]))&gt;1,"Duplicate","Unique")</f>
        <v>Unique</v>
      </c>
      <c r="M786">
        <f>data_tab[[#This Row],[Revenue]]-data_tab[[#This Row],[Cost]]</f>
        <v>-64362.168641678902</v>
      </c>
      <c r="N786" t="str">
        <f>IF(data_tab[[#This Row],[Revenue]]&lt;0,"Return","Sale")</f>
        <v>Return</v>
      </c>
    </row>
    <row r="787" spans="1:14" hidden="1">
      <c r="A787" s="1">
        <v>46091</v>
      </c>
      <c r="B787">
        <f>MONTH(data_tab[[#This Row],[Order Date]])</f>
        <v>3</v>
      </c>
      <c r="C787">
        <f>YEAR(data_tab[[#This Row],[Order Date]])</f>
        <v>2026</v>
      </c>
      <c r="D787" t="s">
        <v>40</v>
      </c>
      <c r="E787" t="s">
        <v>15</v>
      </c>
      <c r="F787" t="s">
        <v>24</v>
      </c>
      <c r="G787" t="s">
        <v>39</v>
      </c>
      <c r="H787">
        <v>4</v>
      </c>
      <c r="I787">
        <v>144924</v>
      </c>
      <c r="J787">
        <v>118361.548813737</v>
      </c>
      <c r="K787" t="str">
        <f>IF(AND(data_tab[[#This Row],[Revenue]]="",data_tab[[#This Row],[Cost]]=""),"Remove",IF(OR(data_tab[[#This Row],[Revenue]]="",data_tab[[#This Row],[Cost]]=""),"Flag","Valid"))</f>
        <v>Valid</v>
      </c>
      <c r="L787" t="str">
        <f>IF((COUNTIFS(data_tab[Revenue],data_tab[[#This Row],[Revenue]],data_tab[Cost],data_tab[[#This Row],[Cost]]))&gt;1,"Duplicate","Unique")</f>
        <v>Unique</v>
      </c>
      <c r="M787">
        <f>data_tab[[#This Row],[Revenue]]-data_tab[[#This Row],[Cost]]</f>
        <v>26562.451186263002</v>
      </c>
      <c r="N787" t="str">
        <f>IF(data_tab[[#This Row],[Revenue]]&lt;0,"Return","Sale")</f>
        <v>Sale</v>
      </c>
    </row>
    <row r="788" spans="1:14" hidden="1">
      <c r="A788" s="1">
        <v>46091</v>
      </c>
      <c r="B788">
        <f>MONTH(data_tab[[#This Row],[Order Date]])</f>
        <v>3</v>
      </c>
      <c r="C788">
        <f>YEAR(data_tab[[#This Row],[Order Date]])</f>
        <v>2026</v>
      </c>
      <c r="D788" t="s">
        <v>35</v>
      </c>
      <c r="E788" t="s">
        <v>32</v>
      </c>
      <c r="F788" t="s">
        <v>36</v>
      </c>
      <c r="G788" t="s">
        <v>37</v>
      </c>
      <c r="H788">
        <v>6</v>
      </c>
      <c r="I788">
        <v>280116</v>
      </c>
      <c r="J788">
        <v>239796.34903204799</v>
      </c>
      <c r="K788" t="str">
        <f>IF(AND(data_tab[[#This Row],[Revenue]]="",data_tab[[#This Row],[Cost]]=""),"Remove",IF(OR(data_tab[[#This Row],[Revenue]]="",data_tab[[#This Row],[Cost]]=""),"Flag","Valid"))</f>
        <v>Valid</v>
      </c>
      <c r="L788" t="str">
        <f>IF((COUNTIFS(data_tab[Revenue],data_tab[[#This Row],[Revenue]],data_tab[Cost],data_tab[[#This Row],[Cost]]))&gt;1,"Duplicate","Unique")</f>
        <v>Unique</v>
      </c>
      <c r="M788">
        <f>data_tab[[#This Row],[Revenue]]-data_tab[[#This Row],[Cost]]</f>
        <v>40319.65096795201</v>
      </c>
      <c r="N788" t="str">
        <f>IF(data_tab[[#This Row],[Revenue]]&lt;0,"Return","Sale")</f>
        <v>Sale</v>
      </c>
    </row>
    <row r="789" spans="1:14" hidden="1">
      <c r="A789" s="1">
        <v>46193</v>
      </c>
      <c r="B789">
        <f>MONTH(data_tab[[#This Row],[Order Date]])</f>
        <v>6</v>
      </c>
      <c r="C789">
        <f>YEAR(data_tab[[#This Row],[Order Date]])</f>
        <v>2026</v>
      </c>
      <c r="D789" t="s">
        <v>35</v>
      </c>
      <c r="E789" t="s">
        <v>32</v>
      </c>
      <c r="F789" t="s">
        <v>16</v>
      </c>
      <c r="G789" t="s">
        <v>39</v>
      </c>
      <c r="H789">
        <v>1</v>
      </c>
      <c r="I789">
        <v>31944</v>
      </c>
      <c r="J789">
        <v>27095.431207355101</v>
      </c>
      <c r="K789" t="str">
        <f>IF(AND(data_tab[[#This Row],[Revenue]]="",data_tab[[#This Row],[Cost]]=""),"Remove",IF(OR(data_tab[[#This Row],[Revenue]]="",data_tab[[#This Row],[Cost]]=""),"Flag","Valid"))</f>
        <v>Valid</v>
      </c>
      <c r="L789" t="str">
        <f>IF((COUNTIFS(data_tab[Revenue],data_tab[[#This Row],[Revenue]],data_tab[Cost],data_tab[[#This Row],[Cost]]))&gt;1,"Duplicate","Unique")</f>
        <v>Unique</v>
      </c>
      <c r="M789">
        <f>data_tab[[#This Row],[Revenue]]-data_tab[[#This Row],[Cost]]</f>
        <v>4848.5687926448991</v>
      </c>
      <c r="N789" t="str">
        <f>IF(data_tab[[#This Row],[Revenue]]&lt;0,"Return","Sale")</f>
        <v>Sale</v>
      </c>
    </row>
    <row r="790" spans="1:14" hidden="1">
      <c r="A790" s="1">
        <v>46029</v>
      </c>
      <c r="B790">
        <f>MONTH(data_tab[[#This Row],[Order Date]])</f>
        <v>1</v>
      </c>
      <c r="C790">
        <f>YEAR(data_tab[[#This Row],[Order Date]])</f>
        <v>2026</v>
      </c>
      <c r="D790" t="s">
        <v>35</v>
      </c>
      <c r="E790" t="s">
        <v>32</v>
      </c>
      <c r="F790" t="s">
        <v>21</v>
      </c>
      <c r="G790" t="s">
        <v>37</v>
      </c>
      <c r="H790">
        <v>8</v>
      </c>
      <c r="I790">
        <v>340192</v>
      </c>
      <c r="J790">
        <v>263469.84478488</v>
      </c>
      <c r="K790" t="str">
        <f>IF(AND(data_tab[[#This Row],[Revenue]]="",data_tab[[#This Row],[Cost]]=""),"Remove",IF(OR(data_tab[[#This Row],[Revenue]]="",data_tab[[#This Row],[Cost]]=""),"Flag","Valid"))</f>
        <v>Valid</v>
      </c>
      <c r="L790" t="str">
        <f>IF((COUNTIFS(data_tab[Revenue],data_tab[[#This Row],[Revenue]],data_tab[Cost],data_tab[[#This Row],[Cost]]))&gt;1,"Duplicate","Unique")</f>
        <v>Unique</v>
      </c>
      <c r="M790">
        <f>data_tab[[#This Row],[Revenue]]-data_tab[[#This Row],[Cost]]</f>
        <v>76722.155215120001</v>
      </c>
      <c r="N790" t="str">
        <f>IF(data_tab[[#This Row],[Revenue]]&lt;0,"Return","Sale")</f>
        <v>Sale</v>
      </c>
    </row>
    <row r="791" spans="1:14" hidden="1">
      <c r="A791" s="1">
        <v>46023</v>
      </c>
      <c r="B791">
        <f>MONTH(data_tab[[#This Row],[Order Date]])</f>
        <v>1</v>
      </c>
      <c r="C791">
        <f>YEAR(data_tab[[#This Row],[Order Date]])</f>
        <v>2026</v>
      </c>
      <c r="D791" t="s">
        <v>23</v>
      </c>
      <c r="E791" t="s">
        <v>15</v>
      </c>
      <c r="F791" t="s">
        <v>16</v>
      </c>
      <c r="G791" t="s">
        <v>39</v>
      </c>
      <c r="H791">
        <v>6</v>
      </c>
      <c r="I791">
        <v>29988</v>
      </c>
      <c r="J791">
        <v>26624.516851011002</v>
      </c>
      <c r="K791" t="str">
        <f>IF(AND(data_tab[[#This Row],[Revenue]]="",data_tab[[#This Row],[Cost]]=""),"Remove",IF(OR(data_tab[[#This Row],[Revenue]]="",data_tab[[#This Row],[Cost]]=""),"Flag","Valid"))</f>
        <v>Valid</v>
      </c>
      <c r="L791" t="str">
        <f>IF((COUNTIFS(data_tab[Revenue],data_tab[[#This Row],[Revenue]],data_tab[Cost],data_tab[[#This Row],[Cost]]))&gt;1,"Duplicate","Unique")</f>
        <v>Unique</v>
      </c>
      <c r="M791">
        <f>data_tab[[#This Row],[Revenue]]-data_tab[[#This Row],[Cost]]</f>
        <v>3363.4831489889984</v>
      </c>
      <c r="N791" t="str">
        <f>IF(data_tab[[#This Row],[Revenue]]&lt;0,"Return","Sale")</f>
        <v>Sale</v>
      </c>
    </row>
    <row r="792" spans="1:14">
      <c r="A792" s="1">
        <v>46147</v>
      </c>
      <c r="B792">
        <f>MONTH(data_tab[[#This Row],[Order Date]])</f>
        <v>5</v>
      </c>
      <c r="C792">
        <f>YEAR(data_tab[[#This Row],[Order Date]])</f>
        <v>2026</v>
      </c>
      <c r="D792" t="s">
        <v>20</v>
      </c>
      <c r="E792" t="s">
        <v>15</v>
      </c>
      <c r="F792" t="s">
        <v>16</v>
      </c>
      <c r="G792" t="s">
        <v>33</v>
      </c>
      <c r="H792">
        <v>8</v>
      </c>
      <c r="I792">
        <v>361152</v>
      </c>
      <c r="J792">
        <v>304393.35171304201</v>
      </c>
      <c r="K792" t="str">
        <f>IF(AND(data_tab[[#This Row],[Revenue]]="",data_tab[[#This Row],[Cost]]=""),"Remove",IF(OR(data_tab[[#This Row],[Revenue]]="",data_tab[[#This Row],[Cost]]=""),"Flag","Valid"))</f>
        <v>Valid</v>
      </c>
      <c r="L792" t="str">
        <f>IF((COUNTIFS(data_tab[Revenue],data_tab[[#This Row],[Revenue]],data_tab[Cost],data_tab[[#This Row],[Cost]]))&gt;1,"Duplicate","Unique")</f>
        <v>Unique</v>
      </c>
      <c r="M792">
        <f>data_tab[[#This Row],[Revenue]]-data_tab[[#This Row],[Cost]]</f>
        <v>56758.648286957992</v>
      </c>
      <c r="N792" t="str">
        <f>IF(data_tab[[#This Row],[Revenue]]&lt;0,"Return","Sale")</f>
        <v>Sale</v>
      </c>
    </row>
    <row r="793" spans="1:14" hidden="1">
      <c r="A793" s="1">
        <v>46072</v>
      </c>
      <c r="B793">
        <f>MONTH(data_tab[[#This Row],[Order Date]])</f>
        <v>2</v>
      </c>
      <c r="C793">
        <f>YEAR(data_tab[[#This Row],[Order Date]])</f>
        <v>2026</v>
      </c>
      <c r="D793" t="s">
        <v>40</v>
      </c>
      <c r="E793" t="s">
        <v>15</v>
      </c>
      <c r="F793" t="s">
        <v>24</v>
      </c>
      <c r="G793" t="s">
        <v>17</v>
      </c>
      <c r="H793">
        <v>8</v>
      </c>
      <c r="I793">
        <v>61656</v>
      </c>
      <c r="J793">
        <v>38259.972436975302</v>
      </c>
      <c r="K793" t="str">
        <f>IF(AND(data_tab[[#This Row],[Revenue]]="",data_tab[[#This Row],[Cost]]=""),"Remove",IF(OR(data_tab[[#This Row],[Revenue]]="",data_tab[[#This Row],[Cost]]=""),"Flag","Valid"))</f>
        <v>Valid</v>
      </c>
      <c r="L793" t="str">
        <f>IF((COUNTIFS(data_tab[Revenue],data_tab[[#This Row],[Revenue]],data_tab[Cost],data_tab[[#This Row],[Cost]]))&gt;1,"Duplicate","Unique")</f>
        <v>Unique</v>
      </c>
      <c r="M793">
        <f>data_tab[[#This Row],[Revenue]]-data_tab[[#This Row],[Cost]]</f>
        <v>23396.027563024698</v>
      </c>
      <c r="N793" t="str">
        <f>IF(data_tab[[#This Row],[Revenue]]&lt;0,"Return","Sale")</f>
        <v>Sale</v>
      </c>
    </row>
    <row r="794" spans="1:14" hidden="1">
      <c r="A794" s="1">
        <v>46066</v>
      </c>
      <c r="B794">
        <f>MONTH(data_tab[[#This Row],[Order Date]])</f>
        <v>2</v>
      </c>
      <c r="C794">
        <f>YEAR(data_tab[[#This Row],[Order Date]])</f>
        <v>2026</v>
      </c>
      <c r="D794" t="s">
        <v>29</v>
      </c>
      <c r="E794" t="s">
        <v>15</v>
      </c>
      <c r="F794" t="s">
        <v>21</v>
      </c>
      <c r="G794" t="s">
        <v>17</v>
      </c>
      <c r="H794">
        <v>4</v>
      </c>
      <c r="I794">
        <v>52676</v>
      </c>
      <c r="J794">
        <v>42209.331913033697</v>
      </c>
      <c r="K794" t="str">
        <f>IF(AND(data_tab[[#This Row],[Revenue]]="",data_tab[[#This Row],[Cost]]=""),"Remove",IF(OR(data_tab[[#This Row],[Revenue]]="",data_tab[[#This Row],[Cost]]=""),"Flag","Valid"))</f>
        <v>Valid</v>
      </c>
      <c r="L794" t="str">
        <f>IF((COUNTIFS(data_tab[Revenue],data_tab[[#This Row],[Revenue]],data_tab[Cost],data_tab[[#This Row],[Cost]]))&gt;1,"Duplicate","Unique")</f>
        <v>Unique</v>
      </c>
      <c r="M794">
        <f>data_tab[[#This Row],[Revenue]]-data_tab[[#This Row],[Cost]]</f>
        <v>10466.668086966303</v>
      </c>
      <c r="N794" t="str">
        <f>IF(data_tab[[#This Row],[Revenue]]&lt;0,"Return","Sale")</f>
        <v>Sale</v>
      </c>
    </row>
    <row r="795" spans="1:14" hidden="1">
      <c r="A795" s="1">
        <v>46235</v>
      </c>
      <c r="B795">
        <f>MONTH(data_tab[[#This Row],[Order Date]])</f>
        <v>8</v>
      </c>
      <c r="C795">
        <f>YEAR(data_tab[[#This Row],[Order Date]])</f>
        <v>2026</v>
      </c>
      <c r="D795" t="s">
        <v>35</v>
      </c>
      <c r="E795" t="s">
        <v>32</v>
      </c>
      <c r="F795" t="s">
        <v>36</v>
      </c>
      <c r="G795" t="s">
        <v>37</v>
      </c>
      <c r="H795">
        <v>4</v>
      </c>
      <c r="I795">
        <v>196524</v>
      </c>
      <c r="J795">
        <v>118514.076688348</v>
      </c>
      <c r="K795" t="str">
        <f>IF(AND(data_tab[[#This Row],[Revenue]]="",data_tab[[#This Row],[Cost]]=""),"Remove",IF(OR(data_tab[[#This Row],[Revenue]]="",data_tab[[#This Row],[Cost]]=""),"Flag","Valid"))</f>
        <v>Valid</v>
      </c>
      <c r="L795" t="str">
        <f>IF((COUNTIFS(data_tab[Revenue],data_tab[[#This Row],[Revenue]],data_tab[Cost],data_tab[[#This Row],[Cost]]))&gt;1,"Duplicate","Unique")</f>
        <v>Unique</v>
      </c>
      <c r="M795">
        <f>data_tab[[#This Row],[Revenue]]-data_tab[[#This Row],[Cost]]</f>
        <v>78009.923311652004</v>
      </c>
      <c r="N795" t="str">
        <f>IF(data_tab[[#This Row],[Revenue]]&lt;0,"Return","Sale")</f>
        <v>Sale</v>
      </c>
    </row>
    <row r="796" spans="1:14" hidden="1">
      <c r="A796" s="1">
        <v>46057</v>
      </c>
      <c r="B796">
        <f>MONTH(data_tab[[#This Row],[Order Date]])</f>
        <v>2</v>
      </c>
      <c r="C796">
        <f>YEAR(data_tab[[#This Row],[Order Date]])</f>
        <v>2026</v>
      </c>
      <c r="D796" t="s">
        <v>29</v>
      </c>
      <c r="E796" t="s">
        <v>15</v>
      </c>
      <c r="F796" t="s">
        <v>24</v>
      </c>
      <c r="G796" t="s">
        <v>41</v>
      </c>
      <c r="H796">
        <v>6</v>
      </c>
      <c r="I796">
        <v>100002</v>
      </c>
      <c r="J796">
        <v>87272.943629903602</v>
      </c>
      <c r="K796" t="str">
        <f>IF(AND(data_tab[[#This Row],[Revenue]]="",data_tab[[#This Row],[Cost]]=""),"Remove",IF(OR(data_tab[[#This Row],[Revenue]]="",data_tab[[#This Row],[Cost]]=""),"Flag","Valid"))</f>
        <v>Valid</v>
      </c>
      <c r="L796" t="str">
        <f>IF((COUNTIFS(data_tab[Revenue],data_tab[[#This Row],[Revenue]],data_tab[Cost],data_tab[[#This Row],[Cost]]))&gt;1,"Duplicate","Unique")</f>
        <v>Unique</v>
      </c>
      <c r="M796">
        <f>data_tab[[#This Row],[Revenue]]-data_tab[[#This Row],[Cost]]</f>
        <v>12729.056370096398</v>
      </c>
      <c r="N796" t="str">
        <f>IF(data_tab[[#This Row],[Revenue]]&lt;0,"Return","Sale")</f>
        <v>Sale</v>
      </c>
    </row>
    <row r="797" spans="1:14" hidden="1">
      <c r="A797" s="1">
        <v>46119</v>
      </c>
      <c r="B797">
        <f>MONTH(data_tab[[#This Row],[Order Date]])</f>
        <v>4</v>
      </c>
      <c r="C797">
        <f>YEAR(data_tab[[#This Row],[Order Date]])</f>
        <v>2026</v>
      </c>
      <c r="D797" t="s">
        <v>14</v>
      </c>
      <c r="E797" t="s">
        <v>15</v>
      </c>
      <c r="F797" t="s">
        <v>36</v>
      </c>
      <c r="G797" t="s">
        <v>41</v>
      </c>
      <c r="H797">
        <v>9</v>
      </c>
      <c r="I797">
        <v>275724</v>
      </c>
      <c r="J797">
        <v>227025.349404218</v>
      </c>
      <c r="K797" t="str">
        <f>IF(AND(data_tab[[#This Row],[Revenue]]="",data_tab[[#This Row],[Cost]]=""),"Remove",IF(OR(data_tab[[#This Row],[Revenue]]="",data_tab[[#This Row],[Cost]]=""),"Flag","Valid"))</f>
        <v>Valid</v>
      </c>
      <c r="L797" t="str">
        <f>IF((COUNTIFS(data_tab[Revenue],data_tab[[#This Row],[Revenue]],data_tab[Cost],data_tab[[#This Row],[Cost]]))&gt;1,"Duplicate","Unique")</f>
        <v>Unique</v>
      </c>
      <c r="M797">
        <f>data_tab[[#This Row],[Revenue]]-data_tab[[#This Row],[Cost]]</f>
        <v>48698.650595782005</v>
      </c>
      <c r="N797" t="str">
        <f>IF(data_tab[[#This Row],[Revenue]]&lt;0,"Return","Sale")</f>
        <v>Sale</v>
      </c>
    </row>
    <row r="798" spans="1:14" hidden="1">
      <c r="A798" s="1">
        <v>46045</v>
      </c>
      <c r="B798">
        <f>MONTH(data_tab[[#This Row],[Order Date]])</f>
        <v>1</v>
      </c>
      <c r="C798">
        <f>YEAR(data_tab[[#This Row],[Order Date]])</f>
        <v>2026</v>
      </c>
      <c r="D798" t="s">
        <v>31</v>
      </c>
      <c r="E798" t="s">
        <v>32</v>
      </c>
      <c r="F798" t="s">
        <v>24</v>
      </c>
      <c r="G798" t="s">
        <v>26</v>
      </c>
      <c r="H798">
        <v>6</v>
      </c>
      <c r="I798">
        <v>-62100</v>
      </c>
      <c r="J798">
        <v>52246.724876643399</v>
      </c>
      <c r="K798" t="str">
        <f>IF(AND(data_tab[[#This Row],[Revenue]]="",data_tab[[#This Row],[Cost]]=""),"Remove",IF(OR(data_tab[[#This Row],[Revenue]]="",data_tab[[#This Row],[Cost]]=""),"Flag","Valid"))</f>
        <v>Valid</v>
      </c>
      <c r="L798" t="str">
        <f>IF((COUNTIFS(data_tab[Revenue],data_tab[[#This Row],[Revenue]],data_tab[Cost],data_tab[[#This Row],[Cost]]))&gt;1,"Duplicate","Unique")</f>
        <v>Unique</v>
      </c>
      <c r="M798">
        <f>data_tab[[#This Row],[Revenue]]-data_tab[[#This Row],[Cost]]</f>
        <v>-114346.72487664339</v>
      </c>
      <c r="N798" t="str">
        <f>IF(data_tab[[#This Row],[Revenue]]&lt;0,"Return","Sale")</f>
        <v>Return</v>
      </c>
    </row>
    <row r="799" spans="1:14" hidden="1">
      <c r="A799" s="1">
        <v>46038</v>
      </c>
      <c r="B799">
        <f>MONTH(data_tab[[#This Row],[Order Date]])</f>
        <v>1</v>
      </c>
      <c r="C799">
        <f>YEAR(data_tab[[#This Row],[Order Date]])</f>
        <v>2026</v>
      </c>
      <c r="D799" t="s">
        <v>29</v>
      </c>
      <c r="E799" t="s">
        <v>15</v>
      </c>
      <c r="F799" t="s">
        <v>36</v>
      </c>
      <c r="G799" t="s">
        <v>37</v>
      </c>
      <c r="H799">
        <v>6</v>
      </c>
      <c r="I799">
        <v>279108</v>
      </c>
      <c r="J799">
        <v>243820.39400461799</v>
      </c>
      <c r="K799" t="str">
        <f>IF(AND(data_tab[[#This Row],[Revenue]]="",data_tab[[#This Row],[Cost]]=""),"Remove",IF(OR(data_tab[[#This Row],[Revenue]]="",data_tab[[#This Row],[Cost]]=""),"Flag","Valid"))</f>
        <v>Valid</v>
      </c>
      <c r="L799" t="str">
        <f>IF((COUNTIFS(data_tab[Revenue],data_tab[[#This Row],[Revenue]],data_tab[Cost],data_tab[[#This Row],[Cost]]))&gt;1,"Duplicate","Unique")</f>
        <v>Unique</v>
      </c>
      <c r="M799">
        <f>data_tab[[#This Row],[Revenue]]-data_tab[[#This Row],[Cost]]</f>
        <v>35287.605995382008</v>
      </c>
      <c r="N799" t="str">
        <f>IF(data_tab[[#This Row],[Revenue]]&lt;0,"Return","Sale")</f>
        <v>Sale</v>
      </c>
    </row>
    <row r="800" spans="1:14" hidden="1">
      <c r="A800" s="1">
        <v>46050</v>
      </c>
      <c r="B800">
        <f>MONTH(data_tab[[#This Row],[Order Date]])</f>
        <v>1</v>
      </c>
      <c r="C800">
        <f>YEAR(data_tab[[#This Row],[Order Date]])</f>
        <v>2026</v>
      </c>
      <c r="D800" t="s">
        <v>29</v>
      </c>
      <c r="E800" t="s">
        <v>15</v>
      </c>
      <c r="F800" t="s">
        <v>16</v>
      </c>
      <c r="G800" t="s">
        <v>17</v>
      </c>
      <c r="H800">
        <v>5</v>
      </c>
      <c r="I800">
        <v>81730</v>
      </c>
      <c r="J800">
        <v>57205.529485031402</v>
      </c>
      <c r="K800" t="str">
        <f>IF(AND(data_tab[[#This Row],[Revenue]]="",data_tab[[#This Row],[Cost]]=""),"Remove",IF(OR(data_tab[[#This Row],[Revenue]]="",data_tab[[#This Row],[Cost]]=""),"Flag","Valid"))</f>
        <v>Valid</v>
      </c>
      <c r="L800" t="str">
        <f>IF((COUNTIFS(data_tab[Revenue],data_tab[[#This Row],[Revenue]],data_tab[Cost],data_tab[[#This Row],[Cost]]))&gt;1,"Duplicate","Unique")</f>
        <v>Unique</v>
      </c>
      <c r="M800">
        <f>data_tab[[#This Row],[Revenue]]-data_tab[[#This Row],[Cost]]</f>
        <v>24524.470514968598</v>
      </c>
      <c r="N800" t="str">
        <f>IF(data_tab[[#This Row],[Revenue]]&lt;0,"Return","Sale")</f>
        <v>Sale</v>
      </c>
    </row>
    <row r="801" spans="1:14" hidden="1">
      <c r="A801" s="1">
        <v>46193</v>
      </c>
      <c r="B801">
        <f>MONTH(data_tab[[#This Row],[Order Date]])</f>
        <v>6</v>
      </c>
      <c r="C801">
        <f>YEAR(data_tab[[#This Row],[Order Date]])</f>
        <v>2026</v>
      </c>
      <c r="D801" t="s">
        <v>20</v>
      </c>
      <c r="E801" t="s">
        <v>15</v>
      </c>
      <c r="F801" t="s">
        <v>16</v>
      </c>
      <c r="G801" t="s">
        <v>37</v>
      </c>
      <c r="H801">
        <v>9</v>
      </c>
      <c r="I801">
        <v>424152</v>
      </c>
      <c r="J801">
        <v>233023.00316474799</v>
      </c>
      <c r="K801" t="str">
        <f>IF(AND(data_tab[[#This Row],[Revenue]]="",data_tab[[#This Row],[Cost]]=""),"Remove",IF(OR(data_tab[[#This Row],[Revenue]]="",data_tab[[#This Row],[Cost]]=""),"Flag","Valid"))</f>
        <v>Valid</v>
      </c>
      <c r="L801" t="str">
        <f>IF((COUNTIFS(data_tab[Revenue],data_tab[[#This Row],[Revenue]],data_tab[Cost],data_tab[[#This Row],[Cost]]))&gt;1,"Duplicate","Unique")</f>
        <v>Unique</v>
      </c>
      <c r="M801">
        <f>data_tab[[#This Row],[Revenue]]-data_tab[[#This Row],[Cost]]</f>
        <v>191128.99683525201</v>
      </c>
      <c r="N801" t="str">
        <f>IF(data_tab[[#This Row],[Revenue]]&lt;0,"Return","Sale")</f>
        <v>Sale</v>
      </c>
    </row>
    <row r="802" spans="1:14" hidden="1">
      <c r="A802" s="1">
        <v>46078</v>
      </c>
      <c r="B802">
        <f>MONTH(data_tab[[#This Row],[Order Date]])</f>
        <v>2</v>
      </c>
      <c r="C802">
        <f>YEAR(data_tab[[#This Row],[Order Date]])</f>
        <v>2026</v>
      </c>
      <c r="D802" t="s">
        <v>29</v>
      </c>
      <c r="E802" t="s">
        <v>15</v>
      </c>
      <c r="F802" t="s">
        <v>24</v>
      </c>
      <c r="G802" t="s">
        <v>37</v>
      </c>
      <c r="H802">
        <v>3</v>
      </c>
      <c r="I802">
        <v>146919</v>
      </c>
      <c r="J802">
        <v>85836.725574459299</v>
      </c>
      <c r="K802" t="str">
        <f>IF(AND(data_tab[[#This Row],[Revenue]]="",data_tab[[#This Row],[Cost]]=""),"Remove",IF(OR(data_tab[[#This Row],[Revenue]]="",data_tab[[#This Row],[Cost]]=""),"Flag","Valid"))</f>
        <v>Valid</v>
      </c>
      <c r="L802" t="str">
        <f>IF((COUNTIFS(data_tab[Revenue],data_tab[[#This Row],[Revenue]],data_tab[Cost],data_tab[[#This Row],[Cost]]))&gt;1,"Duplicate","Unique")</f>
        <v>Unique</v>
      </c>
      <c r="M802">
        <f>data_tab[[#This Row],[Revenue]]-data_tab[[#This Row],[Cost]]</f>
        <v>61082.274425540701</v>
      </c>
      <c r="N802" t="str">
        <f>IF(data_tab[[#This Row],[Revenue]]&lt;0,"Return","Sale")</f>
        <v>Sale</v>
      </c>
    </row>
    <row r="803" spans="1:14" hidden="1">
      <c r="A803" s="1">
        <v>46036</v>
      </c>
      <c r="B803">
        <f>MONTH(data_tab[[#This Row],[Order Date]])</f>
        <v>1</v>
      </c>
      <c r="C803">
        <f>YEAR(data_tab[[#This Row],[Order Date]])</f>
        <v>2026</v>
      </c>
      <c r="D803" t="s">
        <v>23</v>
      </c>
      <c r="E803" t="s">
        <v>15</v>
      </c>
      <c r="F803" t="s">
        <v>36</v>
      </c>
      <c r="G803" t="s">
        <v>41</v>
      </c>
      <c r="H803">
        <v>7</v>
      </c>
      <c r="I803">
        <v>151207</v>
      </c>
      <c r="J803">
        <v>135142.13580025599</v>
      </c>
      <c r="K803" t="str">
        <f>IF(AND(data_tab[[#This Row],[Revenue]]="",data_tab[[#This Row],[Cost]]=""),"Remove",IF(OR(data_tab[[#This Row],[Revenue]]="",data_tab[[#This Row],[Cost]]=""),"Flag","Valid"))</f>
        <v>Valid</v>
      </c>
      <c r="L803" t="str">
        <f>IF((COUNTIFS(data_tab[Revenue],data_tab[[#This Row],[Revenue]],data_tab[Cost],data_tab[[#This Row],[Cost]]))&gt;1,"Duplicate","Unique")</f>
        <v>Unique</v>
      </c>
      <c r="M803">
        <f>data_tab[[#This Row],[Revenue]]-data_tab[[#This Row],[Cost]]</f>
        <v>16064.864199744014</v>
      </c>
      <c r="N803" t="str">
        <f>IF(data_tab[[#This Row],[Revenue]]&lt;0,"Return","Sale")</f>
        <v>Sale</v>
      </c>
    </row>
    <row r="804" spans="1:14">
      <c r="A804" s="1">
        <v>46163</v>
      </c>
      <c r="B804">
        <f>MONTH(data_tab[[#This Row],[Order Date]])</f>
        <v>5</v>
      </c>
      <c r="C804">
        <f>YEAR(data_tab[[#This Row],[Order Date]])</f>
        <v>2026</v>
      </c>
      <c r="D804" t="s">
        <v>29</v>
      </c>
      <c r="E804" t="s">
        <v>15</v>
      </c>
      <c r="F804" t="s">
        <v>16</v>
      </c>
      <c r="G804" t="s">
        <v>33</v>
      </c>
      <c r="H804">
        <v>7</v>
      </c>
      <c r="I804">
        <v>46949</v>
      </c>
      <c r="J804">
        <v>33387.207340837696</v>
      </c>
      <c r="K804" t="str">
        <f>IF(AND(data_tab[[#This Row],[Revenue]]="",data_tab[[#This Row],[Cost]]=""),"Remove",IF(OR(data_tab[[#This Row],[Revenue]]="",data_tab[[#This Row],[Cost]]=""),"Flag","Valid"))</f>
        <v>Valid</v>
      </c>
      <c r="L804" t="str">
        <f>IF((COUNTIFS(data_tab[Revenue],data_tab[[#This Row],[Revenue]],data_tab[Cost],data_tab[[#This Row],[Cost]]))&gt;1,"Duplicate","Unique")</f>
        <v>Unique</v>
      </c>
      <c r="M804">
        <f>data_tab[[#This Row],[Revenue]]-data_tab[[#This Row],[Cost]]</f>
        <v>13561.792659162304</v>
      </c>
      <c r="N804" t="str">
        <f>IF(data_tab[[#This Row],[Revenue]]&lt;0,"Return","Sale")</f>
        <v>Sale</v>
      </c>
    </row>
    <row r="805" spans="1:14">
      <c r="A805" s="1">
        <v>46163</v>
      </c>
      <c r="B805">
        <f>MONTH(data_tab[[#This Row],[Order Date]])</f>
        <v>5</v>
      </c>
      <c r="C805">
        <f>YEAR(data_tab[[#This Row],[Order Date]])</f>
        <v>2026</v>
      </c>
      <c r="D805" t="s">
        <v>23</v>
      </c>
      <c r="E805" t="s">
        <v>15</v>
      </c>
      <c r="F805" t="s">
        <v>24</v>
      </c>
      <c r="G805" t="s">
        <v>41</v>
      </c>
      <c r="H805">
        <v>5</v>
      </c>
      <c r="I805">
        <v>159920</v>
      </c>
      <c r="J805">
        <v>121835.626764589</v>
      </c>
      <c r="K805" t="str">
        <f>IF(AND(data_tab[[#This Row],[Revenue]]="",data_tab[[#This Row],[Cost]]=""),"Remove",IF(OR(data_tab[[#This Row],[Revenue]]="",data_tab[[#This Row],[Cost]]=""),"Flag","Valid"))</f>
        <v>Valid</v>
      </c>
      <c r="L805" t="str">
        <f>IF((COUNTIFS(data_tab[Revenue],data_tab[[#This Row],[Revenue]],data_tab[Cost],data_tab[[#This Row],[Cost]]))&gt;1,"Duplicate","Unique")</f>
        <v>Unique</v>
      </c>
      <c r="M805">
        <f>data_tab[[#This Row],[Revenue]]-data_tab[[#This Row],[Cost]]</f>
        <v>38084.373235410996</v>
      </c>
      <c r="N805" t="str">
        <f>IF(data_tab[[#This Row],[Revenue]]&lt;0,"Return","Sale")</f>
        <v>Sale</v>
      </c>
    </row>
    <row r="806" spans="1:14" hidden="1">
      <c r="A806" s="1">
        <v>46060</v>
      </c>
      <c r="B806">
        <f>MONTH(data_tab[[#This Row],[Order Date]])</f>
        <v>2</v>
      </c>
      <c r="C806">
        <f>YEAR(data_tab[[#This Row],[Order Date]])</f>
        <v>2026</v>
      </c>
      <c r="D806" t="s">
        <v>31</v>
      </c>
      <c r="E806" t="s">
        <v>32</v>
      </c>
      <c r="F806" t="s">
        <v>24</v>
      </c>
      <c r="G806" t="s">
        <v>37</v>
      </c>
      <c r="H806">
        <v>10</v>
      </c>
      <c r="I806">
        <v>86810</v>
      </c>
      <c r="J806">
        <v>66958.907496122105</v>
      </c>
      <c r="K806" t="str">
        <f>IF(AND(data_tab[[#This Row],[Revenue]]="",data_tab[[#This Row],[Cost]]=""),"Remove",IF(OR(data_tab[[#This Row],[Revenue]]="",data_tab[[#This Row],[Cost]]=""),"Flag","Valid"))</f>
        <v>Valid</v>
      </c>
      <c r="L806" t="str">
        <f>IF((COUNTIFS(data_tab[Revenue],data_tab[[#This Row],[Revenue]],data_tab[Cost],data_tab[[#This Row],[Cost]]))&gt;1,"Duplicate","Unique")</f>
        <v>Unique</v>
      </c>
      <c r="M806">
        <f>data_tab[[#This Row],[Revenue]]-data_tab[[#This Row],[Cost]]</f>
        <v>19851.092503877895</v>
      </c>
      <c r="N806" t="str">
        <f>IF(data_tab[[#This Row],[Revenue]]&lt;0,"Return","Sale")</f>
        <v>Sale</v>
      </c>
    </row>
    <row r="807" spans="1:14" hidden="1">
      <c r="A807" s="1">
        <v>46132</v>
      </c>
      <c r="B807">
        <f>MONTH(data_tab[[#This Row],[Order Date]])</f>
        <v>4</v>
      </c>
      <c r="C807">
        <f>YEAR(data_tab[[#This Row],[Order Date]])</f>
        <v>2026</v>
      </c>
      <c r="D807" t="s">
        <v>20</v>
      </c>
      <c r="E807" t="s">
        <v>15</v>
      </c>
      <c r="F807" t="s">
        <v>24</v>
      </c>
      <c r="G807" t="s">
        <v>37</v>
      </c>
      <c r="H807">
        <v>8</v>
      </c>
      <c r="I807">
        <v>110176</v>
      </c>
      <c r="J807">
        <v>96737.313095632693</v>
      </c>
      <c r="K807" t="str">
        <f>IF(AND(data_tab[[#This Row],[Revenue]]="",data_tab[[#This Row],[Cost]]=""),"Remove",IF(OR(data_tab[[#This Row],[Revenue]]="",data_tab[[#This Row],[Cost]]=""),"Flag","Valid"))</f>
        <v>Valid</v>
      </c>
      <c r="L807" t="str">
        <f>IF((COUNTIFS(data_tab[Revenue],data_tab[[#This Row],[Revenue]],data_tab[Cost],data_tab[[#This Row],[Cost]]))&gt;1,"Duplicate","Unique")</f>
        <v>Unique</v>
      </c>
      <c r="M807">
        <f>data_tab[[#This Row],[Revenue]]-data_tab[[#This Row],[Cost]]</f>
        <v>13438.686904367307</v>
      </c>
      <c r="N807" t="str">
        <f>IF(data_tab[[#This Row],[Revenue]]&lt;0,"Return","Sale")</f>
        <v>Sale</v>
      </c>
    </row>
    <row r="808" spans="1:14" hidden="1">
      <c r="A808" s="1">
        <v>46134</v>
      </c>
      <c r="B808">
        <f>MONTH(data_tab[[#This Row],[Order Date]])</f>
        <v>4</v>
      </c>
      <c r="C808">
        <f>YEAR(data_tab[[#This Row],[Order Date]])</f>
        <v>2026</v>
      </c>
      <c r="D808" t="s">
        <v>29</v>
      </c>
      <c r="E808" t="s">
        <v>15</v>
      </c>
      <c r="F808" t="s">
        <v>21</v>
      </c>
      <c r="G808" t="s">
        <v>39</v>
      </c>
      <c r="H808">
        <v>2</v>
      </c>
      <c r="I808">
        <v>35568</v>
      </c>
      <c r="J808">
        <v>23427.144857178399</v>
      </c>
      <c r="K808" t="str">
        <f>IF(AND(data_tab[[#This Row],[Revenue]]="",data_tab[[#This Row],[Cost]]=""),"Remove",IF(OR(data_tab[[#This Row],[Revenue]]="",data_tab[[#This Row],[Cost]]=""),"Flag","Valid"))</f>
        <v>Valid</v>
      </c>
      <c r="L808" t="str">
        <f>IF((COUNTIFS(data_tab[Revenue],data_tab[[#This Row],[Revenue]],data_tab[Cost],data_tab[[#This Row],[Cost]]))&gt;1,"Duplicate","Unique")</f>
        <v>Unique</v>
      </c>
      <c r="M808">
        <f>data_tab[[#This Row],[Revenue]]-data_tab[[#This Row],[Cost]]</f>
        <v>12140.855142821601</v>
      </c>
      <c r="N808" t="str">
        <f>IF(data_tab[[#This Row],[Revenue]]&lt;0,"Return","Sale")</f>
        <v>Sale</v>
      </c>
    </row>
    <row r="809" spans="1:14" hidden="1">
      <c r="A809" s="1">
        <v>46119</v>
      </c>
      <c r="B809">
        <f>MONTH(data_tab[[#This Row],[Order Date]])</f>
        <v>4</v>
      </c>
      <c r="C809">
        <f>YEAR(data_tab[[#This Row],[Order Date]])</f>
        <v>2026</v>
      </c>
      <c r="D809" t="s">
        <v>14</v>
      </c>
      <c r="E809" t="s">
        <v>15</v>
      </c>
      <c r="F809" t="s">
        <v>24</v>
      </c>
      <c r="G809" t="s">
        <v>33</v>
      </c>
      <c r="H809">
        <v>7</v>
      </c>
      <c r="I809">
        <v>140252</v>
      </c>
      <c r="K809" t="str">
        <f>IF(AND(data_tab[[#This Row],[Revenue]]="",data_tab[[#This Row],[Cost]]=""),"Remove",IF(OR(data_tab[[#This Row],[Revenue]]="",data_tab[[#This Row],[Cost]]=""),"Flag","Valid"))</f>
        <v>Flag</v>
      </c>
      <c r="L809" t="str">
        <f>IF((COUNTIFS(data_tab[Revenue],data_tab[[#This Row],[Revenue]],data_tab[Cost],data_tab[[#This Row],[Cost]]))&gt;1,"Duplicate","Unique")</f>
        <v>Unique</v>
      </c>
      <c r="M809">
        <f>data_tab[[#This Row],[Revenue]]-data_tab[[#This Row],[Cost]]</f>
        <v>140252</v>
      </c>
      <c r="N809" t="str">
        <f>IF(data_tab[[#This Row],[Revenue]]&lt;0,"Return","Sale")</f>
        <v>Sale</v>
      </c>
    </row>
    <row r="810" spans="1:14" hidden="1">
      <c r="A810" s="1">
        <v>46054</v>
      </c>
      <c r="B810">
        <f>MONTH(data_tab[[#This Row],[Order Date]])</f>
        <v>2</v>
      </c>
      <c r="C810">
        <f>YEAR(data_tab[[#This Row],[Order Date]])</f>
        <v>2026</v>
      </c>
      <c r="D810" t="s">
        <v>40</v>
      </c>
      <c r="E810" t="s">
        <v>15</v>
      </c>
      <c r="F810" t="s">
        <v>21</v>
      </c>
      <c r="G810" t="s">
        <v>39</v>
      </c>
      <c r="H810">
        <v>10</v>
      </c>
      <c r="I810">
        <v>395500</v>
      </c>
      <c r="J810">
        <v>353948.664899097</v>
      </c>
      <c r="K810" t="str">
        <f>IF(AND(data_tab[[#This Row],[Revenue]]="",data_tab[[#This Row],[Cost]]=""),"Remove",IF(OR(data_tab[[#This Row],[Revenue]]="",data_tab[[#This Row],[Cost]]=""),"Flag","Valid"))</f>
        <v>Valid</v>
      </c>
      <c r="L810" t="str">
        <f>IF((COUNTIFS(data_tab[Revenue],data_tab[[#This Row],[Revenue]],data_tab[Cost],data_tab[[#This Row],[Cost]]))&gt;1,"Duplicate","Unique")</f>
        <v>Unique</v>
      </c>
      <c r="M810">
        <f>data_tab[[#This Row],[Revenue]]-data_tab[[#This Row],[Cost]]</f>
        <v>41551.335100903001</v>
      </c>
      <c r="N810" t="str">
        <f>IF(data_tab[[#This Row],[Revenue]]&lt;0,"Return","Sale")</f>
        <v>Sale</v>
      </c>
    </row>
    <row r="811" spans="1:14" hidden="1">
      <c r="A811" s="1">
        <v>46028</v>
      </c>
      <c r="B811">
        <f>MONTH(data_tab[[#This Row],[Order Date]])</f>
        <v>1</v>
      </c>
      <c r="C811">
        <f>YEAR(data_tab[[#This Row],[Order Date]])</f>
        <v>2026</v>
      </c>
      <c r="D811" t="s">
        <v>29</v>
      </c>
      <c r="E811" t="s">
        <v>15</v>
      </c>
      <c r="F811" t="s">
        <v>36</v>
      </c>
      <c r="G811" t="s">
        <v>37</v>
      </c>
      <c r="H811">
        <v>10</v>
      </c>
      <c r="I811">
        <v>102070</v>
      </c>
      <c r="J811">
        <v>55094.987562078597</v>
      </c>
      <c r="K811" t="str">
        <f>IF(AND(data_tab[[#This Row],[Revenue]]="",data_tab[[#This Row],[Cost]]=""),"Remove",IF(OR(data_tab[[#This Row],[Revenue]]="",data_tab[[#This Row],[Cost]]=""),"Flag","Valid"))</f>
        <v>Valid</v>
      </c>
      <c r="L811" t="str">
        <f>IF((COUNTIFS(data_tab[Revenue],data_tab[[#This Row],[Revenue]],data_tab[Cost],data_tab[[#This Row],[Cost]]))&gt;1,"Duplicate","Unique")</f>
        <v>Unique</v>
      </c>
      <c r="M811">
        <f>data_tab[[#This Row],[Revenue]]-data_tab[[#This Row],[Cost]]</f>
        <v>46975.012437921403</v>
      </c>
      <c r="N811" t="str">
        <f>IF(data_tab[[#This Row],[Revenue]]&lt;0,"Return","Sale")</f>
        <v>Sale</v>
      </c>
    </row>
    <row r="812" spans="1:14" hidden="1">
      <c r="A812" s="1">
        <v>46070</v>
      </c>
      <c r="B812">
        <f>MONTH(data_tab[[#This Row],[Order Date]])</f>
        <v>2</v>
      </c>
      <c r="C812">
        <f>YEAR(data_tab[[#This Row],[Order Date]])</f>
        <v>2026</v>
      </c>
      <c r="D812" t="s">
        <v>29</v>
      </c>
      <c r="E812" t="s">
        <v>15</v>
      </c>
      <c r="F812" t="s">
        <v>36</v>
      </c>
      <c r="G812" t="s">
        <v>39</v>
      </c>
      <c r="H812">
        <v>9</v>
      </c>
      <c r="I812">
        <v>362880</v>
      </c>
      <c r="J812">
        <v>259674.284161941</v>
      </c>
      <c r="K812" t="str">
        <f>IF(AND(data_tab[[#This Row],[Revenue]]="",data_tab[[#This Row],[Cost]]=""),"Remove",IF(OR(data_tab[[#This Row],[Revenue]]="",data_tab[[#This Row],[Cost]]=""),"Flag","Valid"))</f>
        <v>Valid</v>
      </c>
      <c r="L812" t="str">
        <f>IF((COUNTIFS(data_tab[Revenue],data_tab[[#This Row],[Revenue]],data_tab[Cost],data_tab[[#This Row],[Cost]]))&gt;1,"Duplicate","Unique")</f>
        <v>Unique</v>
      </c>
      <c r="M812">
        <f>data_tab[[#This Row],[Revenue]]-data_tab[[#This Row],[Cost]]</f>
        <v>103205.715838059</v>
      </c>
      <c r="N812" t="str">
        <f>IF(data_tab[[#This Row],[Revenue]]&lt;0,"Return","Sale")</f>
        <v>Sale</v>
      </c>
    </row>
    <row r="813" spans="1:14" hidden="1">
      <c r="A813" s="1">
        <v>46076</v>
      </c>
      <c r="B813">
        <f>MONTH(data_tab[[#This Row],[Order Date]])</f>
        <v>2</v>
      </c>
      <c r="C813">
        <f>YEAR(data_tab[[#This Row],[Order Date]])</f>
        <v>2026</v>
      </c>
      <c r="D813" t="s">
        <v>31</v>
      </c>
      <c r="E813" t="s">
        <v>32</v>
      </c>
      <c r="F813" t="s">
        <v>21</v>
      </c>
      <c r="G813" t="s">
        <v>39</v>
      </c>
      <c r="H813">
        <v>9</v>
      </c>
      <c r="I813">
        <v>281781</v>
      </c>
      <c r="J813">
        <v>231118.23828671701</v>
      </c>
      <c r="K813" t="str">
        <f>IF(AND(data_tab[[#This Row],[Revenue]]="",data_tab[[#This Row],[Cost]]=""),"Remove",IF(OR(data_tab[[#This Row],[Revenue]]="",data_tab[[#This Row],[Cost]]=""),"Flag","Valid"))</f>
        <v>Valid</v>
      </c>
      <c r="L813" t="str">
        <f>IF((COUNTIFS(data_tab[Revenue],data_tab[[#This Row],[Revenue]],data_tab[Cost],data_tab[[#This Row],[Cost]]))&gt;1,"Duplicate","Unique")</f>
        <v>Duplicate</v>
      </c>
      <c r="M813">
        <f>data_tab[[#This Row],[Revenue]]-data_tab[[#This Row],[Cost]]</f>
        <v>50662.761713282991</v>
      </c>
      <c r="N813" t="str">
        <f>IF(data_tab[[#This Row],[Revenue]]&lt;0,"Return","Sale")</f>
        <v>Sale</v>
      </c>
    </row>
    <row r="814" spans="1:14" hidden="1">
      <c r="A814" s="1">
        <v>46328</v>
      </c>
      <c r="B814">
        <f>MONTH(data_tab[[#This Row],[Order Date]])</f>
        <v>11</v>
      </c>
      <c r="C814">
        <f>YEAR(data_tab[[#This Row],[Order Date]])</f>
        <v>2026</v>
      </c>
      <c r="D814" t="s">
        <v>35</v>
      </c>
      <c r="E814" t="s">
        <v>32</v>
      </c>
      <c r="F814" t="s">
        <v>24</v>
      </c>
      <c r="G814" t="s">
        <v>39</v>
      </c>
      <c r="H814">
        <v>2</v>
      </c>
      <c r="I814">
        <v>70340</v>
      </c>
      <c r="J814">
        <v>43570.788422145801</v>
      </c>
      <c r="K814" t="str">
        <f>IF(AND(data_tab[[#This Row],[Revenue]]="",data_tab[[#This Row],[Cost]]=""),"Remove",IF(OR(data_tab[[#This Row],[Revenue]]="",data_tab[[#This Row],[Cost]]=""),"Flag","Valid"))</f>
        <v>Valid</v>
      </c>
      <c r="L814" t="str">
        <f>IF((COUNTIFS(data_tab[Revenue],data_tab[[#This Row],[Revenue]],data_tab[Cost],data_tab[[#This Row],[Cost]]))&gt;1,"Duplicate","Unique")</f>
        <v>Unique</v>
      </c>
      <c r="M814">
        <f>data_tab[[#This Row],[Revenue]]-data_tab[[#This Row],[Cost]]</f>
        <v>26769.211577854199</v>
      </c>
      <c r="N814" t="str">
        <f>IF(data_tab[[#This Row],[Revenue]]&lt;0,"Return","Sale")</f>
        <v>Sale</v>
      </c>
    </row>
    <row r="815" spans="1:14" hidden="1">
      <c r="A815" s="1">
        <v>46191</v>
      </c>
      <c r="B815">
        <f>MONTH(data_tab[[#This Row],[Order Date]])</f>
        <v>6</v>
      </c>
      <c r="C815">
        <f>YEAR(data_tab[[#This Row],[Order Date]])</f>
        <v>2026</v>
      </c>
      <c r="D815" t="s">
        <v>35</v>
      </c>
      <c r="E815" t="s">
        <v>32</v>
      </c>
      <c r="F815" t="s">
        <v>24</v>
      </c>
      <c r="G815" t="s">
        <v>26</v>
      </c>
      <c r="H815">
        <v>5</v>
      </c>
      <c r="I815">
        <v>225990</v>
      </c>
      <c r="J815">
        <v>161275.72041406401</v>
      </c>
      <c r="K815" t="str">
        <f>IF(AND(data_tab[[#This Row],[Revenue]]="",data_tab[[#This Row],[Cost]]=""),"Remove",IF(OR(data_tab[[#This Row],[Revenue]]="",data_tab[[#This Row],[Cost]]=""),"Flag","Valid"))</f>
        <v>Valid</v>
      </c>
      <c r="L815" t="str">
        <f>IF((COUNTIFS(data_tab[Revenue],data_tab[[#This Row],[Revenue]],data_tab[Cost],data_tab[[#This Row],[Cost]]))&gt;1,"Duplicate","Unique")</f>
        <v>Unique</v>
      </c>
      <c r="M815">
        <f>data_tab[[#This Row],[Revenue]]-data_tab[[#This Row],[Cost]]</f>
        <v>64714.27958593599</v>
      </c>
      <c r="N815" t="str">
        <f>IF(data_tab[[#This Row],[Revenue]]&lt;0,"Return","Sale")</f>
        <v>Sale</v>
      </c>
    </row>
    <row r="816" spans="1:14" hidden="1">
      <c r="A816" s="1">
        <v>46113</v>
      </c>
      <c r="B816">
        <f>MONTH(data_tab[[#This Row],[Order Date]])</f>
        <v>4</v>
      </c>
      <c r="C816">
        <f>YEAR(data_tab[[#This Row],[Order Date]])</f>
        <v>2026</v>
      </c>
      <c r="D816" t="s">
        <v>14</v>
      </c>
      <c r="E816" t="s">
        <v>15</v>
      </c>
      <c r="F816" t="s">
        <v>24</v>
      </c>
      <c r="G816" t="s">
        <v>41</v>
      </c>
      <c r="H816">
        <v>1</v>
      </c>
      <c r="I816">
        <v>17538</v>
      </c>
      <c r="J816">
        <v>9026.69599969517</v>
      </c>
      <c r="K816" t="str">
        <f>IF(AND(data_tab[[#This Row],[Revenue]]="",data_tab[[#This Row],[Cost]]=""),"Remove",IF(OR(data_tab[[#This Row],[Revenue]]="",data_tab[[#This Row],[Cost]]=""),"Flag","Valid"))</f>
        <v>Valid</v>
      </c>
      <c r="L816" t="str">
        <f>IF((COUNTIFS(data_tab[Revenue],data_tab[[#This Row],[Revenue]],data_tab[Cost],data_tab[[#This Row],[Cost]]))&gt;1,"Duplicate","Unique")</f>
        <v>Unique</v>
      </c>
      <c r="M816">
        <f>data_tab[[#This Row],[Revenue]]-data_tab[[#This Row],[Cost]]</f>
        <v>8511.30400030483</v>
      </c>
      <c r="N816" t="str">
        <f>IF(data_tab[[#This Row],[Revenue]]&lt;0,"Return","Sale")</f>
        <v>Sale</v>
      </c>
    </row>
    <row r="817" spans="1:14" hidden="1">
      <c r="A817" s="1">
        <v>46057</v>
      </c>
      <c r="B817">
        <f>MONTH(data_tab[[#This Row],[Order Date]])</f>
        <v>2</v>
      </c>
      <c r="C817">
        <f>YEAR(data_tab[[#This Row],[Order Date]])</f>
        <v>2026</v>
      </c>
      <c r="D817" t="s">
        <v>35</v>
      </c>
      <c r="E817" t="s">
        <v>32</v>
      </c>
      <c r="F817" t="s">
        <v>16</v>
      </c>
      <c r="G817" t="s">
        <v>17</v>
      </c>
      <c r="H817">
        <v>10</v>
      </c>
      <c r="I817">
        <v>296570</v>
      </c>
      <c r="J817">
        <v>157106.13768443</v>
      </c>
      <c r="K817" t="str">
        <f>IF(AND(data_tab[[#This Row],[Revenue]]="",data_tab[[#This Row],[Cost]]=""),"Remove",IF(OR(data_tab[[#This Row],[Revenue]]="",data_tab[[#This Row],[Cost]]=""),"Flag","Valid"))</f>
        <v>Valid</v>
      </c>
      <c r="L817" t="str">
        <f>IF((COUNTIFS(data_tab[Revenue],data_tab[[#This Row],[Revenue]],data_tab[Cost],data_tab[[#This Row],[Cost]]))&gt;1,"Duplicate","Unique")</f>
        <v>Unique</v>
      </c>
      <c r="M817">
        <f>data_tab[[#This Row],[Revenue]]-data_tab[[#This Row],[Cost]]</f>
        <v>139463.86231557</v>
      </c>
      <c r="N817" t="str">
        <f>IF(data_tab[[#This Row],[Revenue]]&lt;0,"Return","Sale")</f>
        <v>Sale</v>
      </c>
    </row>
    <row r="818" spans="1:14" hidden="1">
      <c r="A818" s="1">
        <v>46125</v>
      </c>
      <c r="B818">
        <f>MONTH(data_tab[[#This Row],[Order Date]])</f>
        <v>4</v>
      </c>
      <c r="C818">
        <f>YEAR(data_tab[[#This Row],[Order Date]])</f>
        <v>2026</v>
      </c>
      <c r="D818" t="s">
        <v>14</v>
      </c>
      <c r="E818" t="s">
        <v>15</v>
      </c>
      <c r="F818" t="s">
        <v>36</v>
      </c>
      <c r="G818" t="s">
        <v>41</v>
      </c>
      <c r="H818">
        <v>3</v>
      </c>
      <c r="I818">
        <v>111363</v>
      </c>
      <c r="J818">
        <v>64758.158994306701</v>
      </c>
      <c r="K818" t="str">
        <f>IF(AND(data_tab[[#This Row],[Revenue]]="",data_tab[[#This Row],[Cost]]=""),"Remove",IF(OR(data_tab[[#This Row],[Revenue]]="",data_tab[[#This Row],[Cost]]=""),"Flag","Valid"))</f>
        <v>Valid</v>
      </c>
      <c r="L818" t="str">
        <f>IF((COUNTIFS(data_tab[Revenue],data_tab[[#This Row],[Revenue]],data_tab[Cost],data_tab[[#This Row],[Cost]]))&gt;1,"Duplicate","Unique")</f>
        <v>Unique</v>
      </c>
      <c r="M818">
        <f>data_tab[[#This Row],[Revenue]]-data_tab[[#This Row],[Cost]]</f>
        <v>46604.841005693299</v>
      </c>
      <c r="N818" t="str">
        <f>IF(data_tab[[#This Row],[Revenue]]&lt;0,"Return","Sale")</f>
        <v>Sale</v>
      </c>
    </row>
    <row r="819" spans="1:14" hidden="1">
      <c r="A819" s="1">
        <v>46188</v>
      </c>
      <c r="B819">
        <f>MONTH(data_tab[[#This Row],[Order Date]])</f>
        <v>6</v>
      </c>
      <c r="C819">
        <f>YEAR(data_tab[[#This Row],[Order Date]])</f>
        <v>2026</v>
      </c>
      <c r="D819" t="s">
        <v>35</v>
      </c>
      <c r="E819" t="s">
        <v>32</v>
      </c>
      <c r="F819" t="s">
        <v>21</v>
      </c>
      <c r="G819" t="s">
        <v>33</v>
      </c>
      <c r="H819">
        <v>3</v>
      </c>
      <c r="I819">
        <v>68196</v>
      </c>
      <c r="K819" t="str">
        <f>IF(AND(data_tab[[#This Row],[Revenue]]="",data_tab[[#This Row],[Cost]]=""),"Remove",IF(OR(data_tab[[#This Row],[Revenue]]="",data_tab[[#This Row],[Cost]]=""),"Flag","Valid"))</f>
        <v>Flag</v>
      </c>
      <c r="L819" t="str">
        <f>IF((COUNTIFS(data_tab[Revenue],data_tab[[#This Row],[Revenue]],data_tab[Cost],data_tab[[#This Row],[Cost]]))&gt;1,"Duplicate","Unique")</f>
        <v>Unique</v>
      </c>
      <c r="M819">
        <f>data_tab[[#This Row],[Revenue]]-data_tab[[#This Row],[Cost]]</f>
        <v>68196</v>
      </c>
      <c r="N819" t="str">
        <f>IF(data_tab[[#This Row],[Revenue]]&lt;0,"Return","Sale")</f>
        <v>Sale</v>
      </c>
    </row>
    <row r="820" spans="1:14" hidden="1">
      <c r="A820" s="1">
        <v>46042</v>
      </c>
      <c r="B820">
        <f>MONTH(data_tab[[#This Row],[Order Date]])</f>
        <v>1</v>
      </c>
      <c r="C820">
        <f>YEAR(data_tab[[#This Row],[Order Date]])</f>
        <v>2026</v>
      </c>
      <c r="D820" t="s">
        <v>14</v>
      </c>
      <c r="E820" t="s">
        <v>15</v>
      </c>
      <c r="F820" t="s">
        <v>36</v>
      </c>
      <c r="G820" t="s">
        <v>39</v>
      </c>
      <c r="H820">
        <v>6</v>
      </c>
      <c r="I820">
        <v>263724</v>
      </c>
      <c r="J820">
        <v>141247.84835767801</v>
      </c>
      <c r="K820" t="str">
        <f>IF(AND(data_tab[[#This Row],[Revenue]]="",data_tab[[#This Row],[Cost]]=""),"Remove",IF(OR(data_tab[[#This Row],[Revenue]]="",data_tab[[#This Row],[Cost]]=""),"Flag","Valid"))</f>
        <v>Valid</v>
      </c>
      <c r="L820" t="str">
        <f>IF((COUNTIFS(data_tab[Revenue],data_tab[[#This Row],[Revenue]],data_tab[Cost],data_tab[[#This Row],[Cost]]))&gt;1,"Duplicate","Unique")</f>
        <v>Unique</v>
      </c>
      <c r="M820">
        <f>data_tab[[#This Row],[Revenue]]-data_tab[[#This Row],[Cost]]</f>
        <v>122476.15164232199</v>
      </c>
      <c r="N820" t="str">
        <f>IF(data_tab[[#This Row],[Revenue]]&lt;0,"Return","Sale")</f>
        <v>Sale</v>
      </c>
    </row>
    <row r="821" spans="1:14" hidden="1">
      <c r="A821" s="1">
        <v>46080</v>
      </c>
      <c r="B821">
        <f>MONTH(data_tab[[#This Row],[Order Date]])</f>
        <v>2</v>
      </c>
      <c r="C821">
        <f>YEAR(data_tab[[#This Row],[Order Date]])</f>
        <v>2026</v>
      </c>
      <c r="D821" t="s">
        <v>31</v>
      </c>
      <c r="E821" t="s">
        <v>32</v>
      </c>
      <c r="F821" t="s">
        <v>36</v>
      </c>
      <c r="G821" t="s">
        <v>39</v>
      </c>
      <c r="H821">
        <v>2</v>
      </c>
      <c r="I821">
        <v>27032</v>
      </c>
      <c r="J821">
        <v>19208.676161122701</v>
      </c>
      <c r="K821" t="str">
        <f>IF(AND(data_tab[[#This Row],[Revenue]]="",data_tab[[#This Row],[Cost]]=""),"Remove",IF(OR(data_tab[[#This Row],[Revenue]]="",data_tab[[#This Row],[Cost]]=""),"Flag","Valid"))</f>
        <v>Valid</v>
      </c>
      <c r="L821" t="str">
        <f>IF((COUNTIFS(data_tab[Revenue],data_tab[[#This Row],[Revenue]],data_tab[Cost],data_tab[[#This Row],[Cost]]))&gt;1,"Duplicate","Unique")</f>
        <v>Unique</v>
      </c>
      <c r="M821">
        <f>data_tab[[#This Row],[Revenue]]-data_tab[[#This Row],[Cost]]</f>
        <v>7823.3238388772988</v>
      </c>
      <c r="N821" t="str">
        <f>IF(data_tab[[#This Row],[Revenue]]&lt;0,"Return","Sale")</f>
        <v>Sale</v>
      </c>
    </row>
    <row r="822" spans="1:14" hidden="1">
      <c r="A822" s="1">
        <v>46047</v>
      </c>
      <c r="B822">
        <f>MONTH(data_tab[[#This Row],[Order Date]])</f>
        <v>1</v>
      </c>
      <c r="C822">
        <f>YEAR(data_tab[[#This Row],[Order Date]])</f>
        <v>2026</v>
      </c>
      <c r="D822" t="s">
        <v>23</v>
      </c>
      <c r="E822" t="s">
        <v>15</v>
      </c>
      <c r="F822" t="s">
        <v>16</v>
      </c>
      <c r="G822" t="s">
        <v>26</v>
      </c>
      <c r="H822">
        <v>5</v>
      </c>
      <c r="J822">
        <v>112808.911663526</v>
      </c>
      <c r="K822" t="str">
        <f>IF(AND(data_tab[[#This Row],[Revenue]]="",data_tab[[#This Row],[Cost]]=""),"Remove",IF(OR(data_tab[[#This Row],[Revenue]]="",data_tab[[#This Row],[Cost]]=""),"Flag","Valid"))</f>
        <v>Flag</v>
      </c>
      <c r="L822" t="str">
        <f>IF((COUNTIFS(data_tab[Revenue],data_tab[[#This Row],[Revenue]],data_tab[Cost],data_tab[[#This Row],[Cost]]))&gt;1,"Duplicate","Unique")</f>
        <v>Unique</v>
      </c>
      <c r="M822">
        <f>data_tab[[#This Row],[Revenue]]-data_tab[[#This Row],[Cost]]</f>
        <v>-112808.911663526</v>
      </c>
      <c r="N822" t="str">
        <f>IF(data_tab[[#This Row],[Revenue]]&lt;0,"Return","Sale")</f>
        <v>Sale</v>
      </c>
    </row>
    <row r="823" spans="1:14" hidden="1">
      <c r="A823" s="1">
        <v>46069</v>
      </c>
      <c r="B823">
        <f>MONTH(data_tab[[#This Row],[Order Date]])</f>
        <v>2</v>
      </c>
      <c r="C823">
        <f>YEAR(data_tab[[#This Row],[Order Date]])</f>
        <v>2026</v>
      </c>
      <c r="D823" t="s">
        <v>23</v>
      </c>
      <c r="E823" t="s">
        <v>15</v>
      </c>
      <c r="F823" t="s">
        <v>36</v>
      </c>
      <c r="G823" t="s">
        <v>33</v>
      </c>
      <c r="H823">
        <v>10</v>
      </c>
      <c r="I823">
        <v>103600</v>
      </c>
      <c r="J823">
        <v>62535.489129376198</v>
      </c>
      <c r="K823" t="str">
        <f>IF(AND(data_tab[[#This Row],[Revenue]]="",data_tab[[#This Row],[Cost]]=""),"Remove",IF(OR(data_tab[[#This Row],[Revenue]]="",data_tab[[#This Row],[Cost]]=""),"Flag","Valid"))</f>
        <v>Valid</v>
      </c>
      <c r="L823" t="str">
        <f>IF((COUNTIFS(data_tab[Revenue],data_tab[[#This Row],[Revenue]],data_tab[Cost],data_tab[[#This Row],[Cost]]))&gt;1,"Duplicate","Unique")</f>
        <v>Unique</v>
      </c>
      <c r="M823">
        <f>data_tab[[#This Row],[Revenue]]-data_tab[[#This Row],[Cost]]</f>
        <v>41064.510870623802</v>
      </c>
      <c r="N823" t="str">
        <f>IF(data_tab[[#This Row],[Revenue]]&lt;0,"Return","Sale")</f>
        <v>Sale</v>
      </c>
    </row>
    <row r="824" spans="1:14" hidden="1">
      <c r="A824" s="1">
        <v>46059</v>
      </c>
      <c r="B824">
        <f>MONTH(data_tab[[#This Row],[Order Date]])</f>
        <v>2</v>
      </c>
      <c r="C824">
        <f>YEAR(data_tab[[#This Row],[Order Date]])</f>
        <v>2026</v>
      </c>
      <c r="D824" t="s">
        <v>20</v>
      </c>
      <c r="E824" t="s">
        <v>15</v>
      </c>
      <c r="F824" t="s">
        <v>16</v>
      </c>
      <c r="G824" t="s">
        <v>41</v>
      </c>
      <c r="H824">
        <v>4</v>
      </c>
      <c r="I824">
        <v>185788</v>
      </c>
      <c r="J824">
        <v>138129.88448322</v>
      </c>
      <c r="K824" t="str">
        <f>IF(AND(data_tab[[#This Row],[Revenue]]="",data_tab[[#This Row],[Cost]]=""),"Remove",IF(OR(data_tab[[#This Row],[Revenue]]="",data_tab[[#This Row],[Cost]]=""),"Flag","Valid"))</f>
        <v>Valid</v>
      </c>
      <c r="L824" t="str">
        <f>IF((COUNTIFS(data_tab[Revenue],data_tab[[#This Row],[Revenue]],data_tab[Cost],data_tab[[#This Row],[Cost]]))&gt;1,"Duplicate","Unique")</f>
        <v>Unique</v>
      </c>
      <c r="M824">
        <f>data_tab[[#This Row],[Revenue]]-data_tab[[#This Row],[Cost]]</f>
        <v>47658.115516780003</v>
      </c>
      <c r="N824" t="str">
        <f>IF(data_tab[[#This Row],[Revenue]]&lt;0,"Return","Sale")</f>
        <v>Sale</v>
      </c>
    </row>
    <row r="825" spans="1:14" hidden="1">
      <c r="A825" s="1">
        <v>46142</v>
      </c>
      <c r="B825">
        <f>MONTH(data_tab[[#This Row],[Order Date]])</f>
        <v>4</v>
      </c>
      <c r="C825">
        <f>YEAR(data_tab[[#This Row],[Order Date]])</f>
        <v>2026</v>
      </c>
      <c r="D825" t="s">
        <v>29</v>
      </c>
      <c r="E825" t="s">
        <v>15</v>
      </c>
      <c r="F825" t="s">
        <v>21</v>
      </c>
      <c r="G825" t="s">
        <v>37</v>
      </c>
      <c r="H825">
        <v>2</v>
      </c>
      <c r="I825">
        <v>44062</v>
      </c>
      <c r="J825">
        <v>29195.741773406298</v>
      </c>
      <c r="K825" t="str">
        <f>IF(AND(data_tab[[#This Row],[Revenue]]="",data_tab[[#This Row],[Cost]]=""),"Remove",IF(OR(data_tab[[#This Row],[Revenue]]="",data_tab[[#This Row],[Cost]]=""),"Flag","Valid"))</f>
        <v>Valid</v>
      </c>
      <c r="L825" t="str">
        <f>IF((COUNTIFS(data_tab[Revenue],data_tab[[#This Row],[Revenue]],data_tab[Cost],data_tab[[#This Row],[Cost]]))&gt;1,"Duplicate","Unique")</f>
        <v>Unique</v>
      </c>
      <c r="M825">
        <f>data_tab[[#This Row],[Revenue]]-data_tab[[#This Row],[Cost]]</f>
        <v>14866.258226593702</v>
      </c>
      <c r="N825" t="str">
        <f>IF(data_tab[[#This Row],[Revenue]]&lt;0,"Return","Sale")</f>
        <v>Sale</v>
      </c>
    </row>
    <row r="826" spans="1:14" hidden="1">
      <c r="A826" s="1">
        <v>46084</v>
      </c>
      <c r="B826">
        <f>MONTH(data_tab[[#This Row],[Order Date]])</f>
        <v>3</v>
      </c>
      <c r="C826">
        <f>YEAR(data_tab[[#This Row],[Order Date]])</f>
        <v>2026</v>
      </c>
      <c r="D826" t="s">
        <v>20</v>
      </c>
      <c r="E826" t="s">
        <v>15</v>
      </c>
      <c r="F826" t="s">
        <v>24</v>
      </c>
      <c r="G826" t="s">
        <v>41</v>
      </c>
      <c r="H826">
        <v>5</v>
      </c>
      <c r="I826">
        <v>191585</v>
      </c>
      <c r="K826" t="str">
        <f>IF(AND(data_tab[[#This Row],[Revenue]]="",data_tab[[#This Row],[Cost]]=""),"Remove",IF(OR(data_tab[[#This Row],[Revenue]]="",data_tab[[#This Row],[Cost]]=""),"Flag","Valid"))</f>
        <v>Flag</v>
      </c>
      <c r="L826" t="str">
        <f>IF((COUNTIFS(data_tab[Revenue],data_tab[[#This Row],[Revenue]],data_tab[Cost],data_tab[[#This Row],[Cost]]))&gt;1,"Duplicate","Unique")</f>
        <v>Unique</v>
      </c>
      <c r="M826">
        <f>data_tab[[#This Row],[Revenue]]-data_tab[[#This Row],[Cost]]</f>
        <v>191585</v>
      </c>
      <c r="N826" t="str">
        <f>IF(data_tab[[#This Row],[Revenue]]&lt;0,"Return","Sale")</f>
        <v>Sale</v>
      </c>
    </row>
    <row r="827" spans="1:14" hidden="1">
      <c r="A827" s="1">
        <v>46196</v>
      </c>
      <c r="B827">
        <f>MONTH(data_tab[[#This Row],[Order Date]])</f>
        <v>6</v>
      </c>
      <c r="C827">
        <f>YEAR(data_tab[[#This Row],[Order Date]])</f>
        <v>2026</v>
      </c>
      <c r="D827" t="s">
        <v>29</v>
      </c>
      <c r="E827" t="s">
        <v>15</v>
      </c>
      <c r="F827" t="s">
        <v>36</v>
      </c>
      <c r="G827" t="s">
        <v>26</v>
      </c>
      <c r="H827">
        <v>9</v>
      </c>
      <c r="J827">
        <v>236240.19921822599</v>
      </c>
      <c r="K827" t="str">
        <f>IF(AND(data_tab[[#This Row],[Revenue]]="",data_tab[[#This Row],[Cost]]=""),"Remove",IF(OR(data_tab[[#This Row],[Revenue]]="",data_tab[[#This Row],[Cost]]=""),"Flag","Valid"))</f>
        <v>Flag</v>
      </c>
      <c r="L827" t="str">
        <f>IF((COUNTIFS(data_tab[Revenue],data_tab[[#This Row],[Revenue]],data_tab[Cost],data_tab[[#This Row],[Cost]]))&gt;1,"Duplicate","Unique")</f>
        <v>Unique</v>
      </c>
      <c r="M827">
        <f>data_tab[[#This Row],[Revenue]]-data_tab[[#This Row],[Cost]]</f>
        <v>-236240.19921822599</v>
      </c>
      <c r="N827" t="str">
        <f>IF(data_tab[[#This Row],[Revenue]]&lt;0,"Return","Sale")</f>
        <v>Sale</v>
      </c>
    </row>
    <row r="828" spans="1:14" hidden="1">
      <c r="A828" s="1">
        <v>46024</v>
      </c>
      <c r="B828">
        <f>MONTH(data_tab[[#This Row],[Order Date]])</f>
        <v>1</v>
      </c>
      <c r="C828">
        <f>YEAR(data_tab[[#This Row],[Order Date]])</f>
        <v>2026</v>
      </c>
      <c r="D828" t="s">
        <v>14</v>
      </c>
      <c r="E828" t="s">
        <v>15</v>
      </c>
      <c r="F828" t="s">
        <v>16</v>
      </c>
      <c r="G828" t="s">
        <v>17</v>
      </c>
      <c r="H828">
        <v>9</v>
      </c>
      <c r="I828">
        <v>421479</v>
      </c>
      <c r="J828">
        <v>313444.42516347801</v>
      </c>
      <c r="K828" t="str">
        <f>IF(AND(data_tab[[#This Row],[Revenue]]="",data_tab[[#This Row],[Cost]]=""),"Remove",IF(OR(data_tab[[#This Row],[Revenue]]="",data_tab[[#This Row],[Cost]]=""),"Flag","Valid"))</f>
        <v>Valid</v>
      </c>
      <c r="L828" t="str">
        <f>IF((COUNTIFS(data_tab[Revenue],data_tab[[#This Row],[Revenue]],data_tab[Cost],data_tab[[#This Row],[Cost]]))&gt;1,"Duplicate","Unique")</f>
        <v>Unique</v>
      </c>
      <c r="M828">
        <f>data_tab[[#This Row],[Revenue]]-data_tab[[#This Row],[Cost]]</f>
        <v>108034.57483652199</v>
      </c>
      <c r="N828" t="str">
        <f>IF(data_tab[[#This Row],[Revenue]]&lt;0,"Return","Sale")</f>
        <v>Sale</v>
      </c>
    </row>
    <row r="829" spans="1:14">
      <c r="A829" s="1">
        <v>46157</v>
      </c>
      <c r="B829">
        <f>MONTH(data_tab[[#This Row],[Order Date]])</f>
        <v>5</v>
      </c>
      <c r="C829">
        <f>YEAR(data_tab[[#This Row],[Order Date]])</f>
        <v>2026</v>
      </c>
      <c r="D829" t="s">
        <v>35</v>
      </c>
      <c r="E829" t="s">
        <v>32</v>
      </c>
      <c r="F829" t="s">
        <v>21</v>
      </c>
      <c r="G829" t="s">
        <v>26</v>
      </c>
      <c r="H829">
        <v>6</v>
      </c>
      <c r="I829">
        <v>32016</v>
      </c>
      <c r="J829">
        <v>21421.550463366999</v>
      </c>
      <c r="K829" t="str">
        <f>IF(AND(data_tab[[#This Row],[Revenue]]="",data_tab[[#This Row],[Cost]]=""),"Remove",IF(OR(data_tab[[#This Row],[Revenue]]="",data_tab[[#This Row],[Cost]]=""),"Flag","Valid"))</f>
        <v>Valid</v>
      </c>
      <c r="L829" t="str">
        <f>IF((COUNTIFS(data_tab[Revenue],data_tab[[#This Row],[Revenue]],data_tab[Cost],data_tab[[#This Row],[Cost]]))&gt;1,"Duplicate","Unique")</f>
        <v>Unique</v>
      </c>
      <c r="M829">
        <f>data_tab[[#This Row],[Revenue]]-data_tab[[#This Row],[Cost]]</f>
        <v>10594.449536633001</v>
      </c>
      <c r="N829" t="str">
        <f>IF(data_tab[[#This Row],[Revenue]]&lt;0,"Return","Sale")</f>
        <v>Sale</v>
      </c>
    </row>
    <row r="830" spans="1:14" hidden="1">
      <c r="A830" s="1">
        <v>46196</v>
      </c>
      <c r="B830">
        <f>MONTH(data_tab[[#This Row],[Order Date]])</f>
        <v>6</v>
      </c>
      <c r="C830">
        <f>YEAR(data_tab[[#This Row],[Order Date]])</f>
        <v>2026</v>
      </c>
      <c r="D830" t="s">
        <v>23</v>
      </c>
      <c r="E830" t="s">
        <v>15</v>
      </c>
      <c r="F830" t="s">
        <v>24</v>
      </c>
      <c r="G830" t="s">
        <v>37</v>
      </c>
      <c r="H830">
        <v>5</v>
      </c>
      <c r="I830">
        <v>168310</v>
      </c>
      <c r="J830">
        <v>103917.626237989</v>
      </c>
      <c r="K830" t="str">
        <f>IF(AND(data_tab[[#This Row],[Revenue]]="",data_tab[[#This Row],[Cost]]=""),"Remove",IF(OR(data_tab[[#This Row],[Revenue]]="",data_tab[[#This Row],[Cost]]=""),"Flag","Valid"))</f>
        <v>Valid</v>
      </c>
      <c r="L830" t="str">
        <f>IF((COUNTIFS(data_tab[Revenue],data_tab[[#This Row],[Revenue]],data_tab[Cost],data_tab[[#This Row],[Cost]]))&gt;1,"Duplicate","Unique")</f>
        <v>Unique</v>
      </c>
      <c r="M830">
        <f>data_tab[[#This Row],[Revenue]]-data_tab[[#This Row],[Cost]]</f>
        <v>64392.373762011004</v>
      </c>
      <c r="N830" t="str">
        <f>IF(data_tab[[#This Row],[Revenue]]&lt;0,"Return","Sale")</f>
        <v>Sale</v>
      </c>
    </row>
    <row r="831" spans="1:14" hidden="1">
      <c r="A831" s="1">
        <v>46078</v>
      </c>
      <c r="B831">
        <f>MONTH(data_tab[[#This Row],[Order Date]])</f>
        <v>2</v>
      </c>
      <c r="C831">
        <f>YEAR(data_tab[[#This Row],[Order Date]])</f>
        <v>2026</v>
      </c>
      <c r="D831" t="s">
        <v>14</v>
      </c>
      <c r="E831" t="s">
        <v>15</v>
      </c>
      <c r="F831" t="s">
        <v>24</v>
      </c>
      <c r="G831" t="s">
        <v>33</v>
      </c>
      <c r="H831">
        <v>10</v>
      </c>
      <c r="J831">
        <v>177814.325179306</v>
      </c>
      <c r="K831" t="str">
        <f>IF(AND(data_tab[[#This Row],[Revenue]]="",data_tab[[#This Row],[Cost]]=""),"Remove",IF(OR(data_tab[[#This Row],[Revenue]]="",data_tab[[#This Row],[Cost]]=""),"Flag","Valid"))</f>
        <v>Flag</v>
      </c>
      <c r="L831" t="str">
        <f>IF((COUNTIFS(data_tab[Revenue],data_tab[[#This Row],[Revenue]],data_tab[Cost],data_tab[[#This Row],[Cost]]))&gt;1,"Duplicate","Unique")</f>
        <v>Unique</v>
      </c>
      <c r="M831">
        <f>data_tab[[#This Row],[Revenue]]-data_tab[[#This Row],[Cost]]</f>
        <v>-177814.325179306</v>
      </c>
      <c r="N831" t="str">
        <f>IF(data_tab[[#This Row],[Revenue]]&lt;0,"Return","Sale")</f>
        <v>Sale</v>
      </c>
    </row>
    <row r="832" spans="1:14" hidden="1">
      <c r="A832" s="1">
        <v>46050</v>
      </c>
      <c r="B832">
        <f>MONTH(data_tab[[#This Row],[Order Date]])</f>
        <v>1</v>
      </c>
      <c r="C832">
        <f>YEAR(data_tab[[#This Row],[Order Date]])</f>
        <v>2026</v>
      </c>
      <c r="D832" t="s">
        <v>14</v>
      </c>
      <c r="E832" t="s">
        <v>15</v>
      </c>
      <c r="F832" t="s">
        <v>21</v>
      </c>
      <c r="G832" t="s">
        <v>33</v>
      </c>
      <c r="H832">
        <v>6</v>
      </c>
      <c r="I832">
        <v>15480</v>
      </c>
      <c r="J832">
        <v>8367.4835263158093</v>
      </c>
      <c r="K832" t="str">
        <f>IF(AND(data_tab[[#This Row],[Revenue]]="",data_tab[[#This Row],[Cost]]=""),"Remove",IF(OR(data_tab[[#This Row],[Revenue]]="",data_tab[[#This Row],[Cost]]=""),"Flag","Valid"))</f>
        <v>Valid</v>
      </c>
      <c r="L832" t="str">
        <f>IF((COUNTIFS(data_tab[Revenue],data_tab[[#This Row],[Revenue]],data_tab[Cost],data_tab[[#This Row],[Cost]]))&gt;1,"Duplicate","Unique")</f>
        <v>Unique</v>
      </c>
      <c r="M832">
        <f>data_tab[[#This Row],[Revenue]]-data_tab[[#This Row],[Cost]]</f>
        <v>7112.5164736841907</v>
      </c>
      <c r="N832" t="str">
        <f>IF(data_tab[[#This Row],[Revenue]]&lt;0,"Return","Sale")</f>
        <v>Sale</v>
      </c>
    </row>
    <row r="833" spans="1:14" hidden="1">
      <c r="A833" s="1">
        <v>46062</v>
      </c>
      <c r="B833">
        <f>MONTH(data_tab[[#This Row],[Order Date]])</f>
        <v>2</v>
      </c>
      <c r="C833">
        <f>YEAR(data_tab[[#This Row],[Order Date]])</f>
        <v>2026</v>
      </c>
      <c r="D833" t="s">
        <v>20</v>
      </c>
      <c r="E833" t="s">
        <v>15</v>
      </c>
      <c r="F833" t="s">
        <v>21</v>
      </c>
      <c r="G833" t="s">
        <v>41</v>
      </c>
      <c r="H833">
        <v>5</v>
      </c>
      <c r="I833">
        <v>84085</v>
      </c>
      <c r="J833">
        <v>57873.979401405799</v>
      </c>
      <c r="K833" t="str">
        <f>IF(AND(data_tab[[#This Row],[Revenue]]="",data_tab[[#This Row],[Cost]]=""),"Remove",IF(OR(data_tab[[#This Row],[Revenue]]="",data_tab[[#This Row],[Cost]]=""),"Flag","Valid"))</f>
        <v>Valid</v>
      </c>
      <c r="L833" t="str">
        <f>IF((COUNTIFS(data_tab[Revenue],data_tab[[#This Row],[Revenue]],data_tab[Cost],data_tab[[#This Row],[Cost]]))&gt;1,"Duplicate","Unique")</f>
        <v>Unique</v>
      </c>
      <c r="M833">
        <f>data_tab[[#This Row],[Revenue]]-data_tab[[#This Row],[Cost]]</f>
        <v>26211.020598594201</v>
      </c>
      <c r="N833" t="str">
        <f>IF(data_tab[[#This Row],[Revenue]]&lt;0,"Return","Sale")</f>
        <v>Sale</v>
      </c>
    </row>
    <row r="834" spans="1:14">
      <c r="A834" s="1">
        <v>46160</v>
      </c>
      <c r="B834">
        <f>MONTH(data_tab[[#This Row],[Order Date]])</f>
        <v>5</v>
      </c>
      <c r="C834">
        <f>YEAR(data_tab[[#This Row],[Order Date]])</f>
        <v>2026</v>
      </c>
      <c r="D834" t="s">
        <v>29</v>
      </c>
      <c r="E834" t="s">
        <v>15</v>
      </c>
      <c r="F834" t="s">
        <v>36</v>
      </c>
      <c r="G834" t="s">
        <v>17</v>
      </c>
      <c r="H834">
        <v>3</v>
      </c>
      <c r="J834">
        <v>60348.897332167398</v>
      </c>
      <c r="K834" t="str">
        <f>IF(AND(data_tab[[#This Row],[Revenue]]="",data_tab[[#This Row],[Cost]]=""),"Remove",IF(OR(data_tab[[#This Row],[Revenue]]="",data_tab[[#This Row],[Cost]]=""),"Flag","Valid"))</f>
        <v>Flag</v>
      </c>
      <c r="L834" t="str">
        <f>IF((COUNTIFS(data_tab[Revenue],data_tab[[#This Row],[Revenue]],data_tab[Cost],data_tab[[#This Row],[Cost]]))&gt;1,"Duplicate","Unique")</f>
        <v>Unique</v>
      </c>
      <c r="M834">
        <f>data_tab[[#This Row],[Revenue]]-data_tab[[#This Row],[Cost]]</f>
        <v>-60348.897332167398</v>
      </c>
      <c r="N834" t="str">
        <f>IF(data_tab[[#This Row],[Revenue]]&lt;0,"Return","Sale")</f>
        <v>Sale</v>
      </c>
    </row>
    <row r="835" spans="1:14" hidden="1">
      <c r="A835" s="1">
        <v>46051</v>
      </c>
      <c r="B835">
        <f>MONTH(data_tab[[#This Row],[Order Date]])</f>
        <v>1</v>
      </c>
      <c r="C835">
        <f>YEAR(data_tab[[#This Row],[Order Date]])</f>
        <v>2026</v>
      </c>
      <c r="D835" t="s">
        <v>20</v>
      </c>
      <c r="E835" t="s">
        <v>15</v>
      </c>
      <c r="F835" t="s">
        <v>21</v>
      </c>
      <c r="G835" t="s">
        <v>33</v>
      </c>
      <c r="H835">
        <v>7</v>
      </c>
      <c r="I835">
        <v>165942</v>
      </c>
      <c r="J835">
        <v>142776.351454802</v>
      </c>
      <c r="K835" t="str">
        <f>IF(AND(data_tab[[#This Row],[Revenue]]="",data_tab[[#This Row],[Cost]]=""),"Remove",IF(OR(data_tab[[#This Row],[Revenue]]="",data_tab[[#This Row],[Cost]]=""),"Flag","Valid"))</f>
        <v>Valid</v>
      </c>
      <c r="L835" t="str">
        <f>IF((COUNTIFS(data_tab[Revenue],data_tab[[#This Row],[Revenue]],data_tab[Cost],data_tab[[#This Row],[Cost]]))&gt;1,"Duplicate","Unique")</f>
        <v>Unique</v>
      </c>
      <c r="M835">
        <f>data_tab[[#This Row],[Revenue]]-data_tab[[#This Row],[Cost]]</f>
        <v>23165.648545197997</v>
      </c>
      <c r="N835" t="str">
        <f>IF(data_tab[[#This Row],[Revenue]]&lt;0,"Return","Sale")</f>
        <v>Sale</v>
      </c>
    </row>
    <row r="836" spans="1:14" hidden="1">
      <c r="A836" s="1">
        <v>46193</v>
      </c>
      <c r="B836">
        <f>MONTH(data_tab[[#This Row],[Order Date]])</f>
        <v>6</v>
      </c>
      <c r="C836">
        <f>YEAR(data_tab[[#This Row],[Order Date]])</f>
        <v>2026</v>
      </c>
      <c r="D836" t="s">
        <v>29</v>
      </c>
      <c r="E836" t="s">
        <v>15</v>
      </c>
      <c r="F836" t="s">
        <v>36</v>
      </c>
      <c r="G836" t="s">
        <v>41</v>
      </c>
      <c r="H836">
        <v>3</v>
      </c>
      <c r="I836">
        <v>69873</v>
      </c>
      <c r="J836">
        <v>55928.862012715297</v>
      </c>
      <c r="K836" t="str">
        <f>IF(AND(data_tab[[#This Row],[Revenue]]="",data_tab[[#This Row],[Cost]]=""),"Remove",IF(OR(data_tab[[#This Row],[Revenue]]="",data_tab[[#This Row],[Cost]]=""),"Flag","Valid"))</f>
        <v>Valid</v>
      </c>
      <c r="L836" t="str">
        <f>IF((COUNTIFS(data_tab[Revenue],data_tab[[#This Row],[Revenue]],data_tab[Cost],data_tab[[#This Row],[Cost]]))&gt;1,"Duplicate","Unique")</f>
        <v>Unique</v>
      </c>
      <c r="M836">
        <f>data_tab[[#This Row],[Revenue]]-data_tab[[#This Row],[Cost]]</f>
        <v>13944.137987284703</v>
      </c>
      <c r="N836" t="str">
        <f>IF(data_tab[[#This Row],[Revenue]]&lt;0,"Return","Sale")</f>
        <v>Sale</v>
      </c>
    </row>
    <row r="837" spans="1:14" hidden="1">
      <c r="A837" s="1">
        <v>46299</v>
      </c>
      <c r="B837">
        <f>MONTH(data_tab[[#This Row],[Order Date]])</f>
        <v>10</v>
      </c>
      <c r="C837">
        <f>YEAR(data_tab[[#This Row],[Order Date]])</f>
        <v>2026</v>
      </c>
      <c r="D837" t="s">
        <v>20</v>
      </c>
      <c r="E837" t="s">
        <v>15</v>
      </c>
      <c r="F837" t="s">
        <v>24</v>
      </c>
      <c r="G837" t="s">
        <v>17</v>
      </c>
      <c r="H837">
        <v>3</v>
      </c>
      <c r="I837">
        <v>73656</v>
      </c>
      <c r="J837">
        <v>51559.227441994299</v>
      </c>
      <c r="K837" t="str">
        <f>IF(AND(data_tab[[#This Row],[Revenue]]="",data_tab[[#This Row],[Cost]]=""),"Remove",IF(OR(data_tab[[#This Row],[Revenue]]="",data_tab[[#This Row],[Cost]]=""),"Flag","Valid"))</f>
        <v>Valid</v>
      </c>
      <c r="L837" t="str">
        <f>IF((COUNTIFS(data_tab[Revenue],data_tab[[#This Row],[Revenue]],data_tab[Cost],data_tab[[#This Row],[Cost]]))&gt;1,"Duplicate","Unique")</f>
        <v>Unique</v>
      </c>
      <c r="M837">
        <f>data_tab[[#This Row],[Revenue]]-data_tab[[#This Row],[Cost]]</f>
        <v>22096.772558005701</v>
      </c>
      <c r="N837" t="str">
        <f>IF(data_tab[[#This Row],[Revenue]]&lt;0,"Return","Sale")</f>
        <v>Sale</v>
      </c>
    </row>
    <row r="838" spans="1:14" hidden="1">
      <c r="A838" s="1">
        <v>46110</v>
      </c>
      <c r="B838">
        <f>MONTH(data_tab[[#This Row],[Order Date]])</f>
        <v>3</v>
      </c>
      <c r="C838">
        <f>YEAR(data_tab[[#This Row],[Order Date]])</f>
        <v>2026</v>
      </c>
      <c r="D838" t="s">
        <v>20</v>
      </c>
      <c r="E838" t="s">
        <v>15</v>
      </c>
      <c r="F838" t="s">
        <v>36</v>
      </c>
      <c r="G838" t="s">
        <v>33</v>
      </c>
      <c r="H838">
        <v>5</v>
      </c>
      <c r="I838">
        <v>102475</v>
      </c>
      <c r="J838">
        <v>71155.739706727705</v>
      </c>
      <c r="K838" t="str">
        <f>IF(AND(data_tab[[#This Row],[Revenue]]="",data_tab[[#This Row],[Cost]]=""),"Remove",IF(OR(data_tab[[#This Row],[Revenue]]="",data_tab[[#This Row],[Cost]]=""),"Flag","Valid"))</f>
        <v>Valid</v>
      </c>
      <c r="L838" t="str">
        <f>IF((COUNTIFS(data_tab[Revenue],data_tab[[#This Row],[Revenue]],data_tab[Cost],data_tab[[#This Row],[Cost]]))&gt;1,"Duplicate","Unique")</f>
        <v>Unique</v>
      </c>
      <c r="M838">
        <f>data_tab[[#This Row],[Revenue]]-data_tab[[#This Row],[Cost]]</f>
        <v>31319.260293272295</v>
      </c>
      <c r="N838" t="str">
        <f>IF(data_tab[[#This Row],[Revenue]]&lt;0,"Return","Sale")</f>
        <v>Sale</v>
      </c>
    </row>
    <row r="839" spans="1:14" hidden="1">
      <c r="A839" s="1">
        <v>46331</v>
      </c>
      <c r="B839">
        <f>MONTH(data_tab[[#This Row],[Order Date]])</f>
        <v>11</v>
      </c>
      <c r="C839">
        <f>YEAR(data_tab[[#This Row],[Order Date]])</f>
        <v>2026</v>
      </c>
      <c r="D839" t="s">
        <v>35</v>
      </c>
      <c r="E839" t="s">
        <v>32</v>
      </c>
      <c r="F839" t="s">
        <v>24</v>
      </c>
      <c r="G839" t="s">
        <v>37</v>
      </c>
      <c r="H839">
        <v>4</v>
      </c>
      <c r="I839">
        <v>182672</v>
      </c>
      <c r="J839">
        <v>151296.945316634</v>
      </c>
      <c r="K839" t="str">
        <f>IF(AND(data_tab[[#This Row],[Revenue]]="",data_tab[[#This Row],[Cost]]=""),"Remove",IF(OR(data_tab[[#This Row],[Revenue]]="",data_tab[[#This Row],[Cost]]=""),"Flag","Valid"))</f>
        <v>Valid</v>
      </c>
      <c r="L839" t="str">
        <f>IF((COUNTIFS(data_tab[Revenue],data_tab[[#This Row],[Revenue]],data_tab[Cost],data_tab[[#This Row],[Cost]]))&gt;1,"Duplicate","Unique")</f>
        <v>Duplicate</v>
      </c>
      <c r="M839">
        <f>data_tab[[#This Row],[Revenue]]-data_tab[[#This Row],[Cost]]</f>
        <v>31375.054683366005</v>
      </c>
      <c r="N839" t="str">
        <f>IF(data_tab[[#This Row],[Revenue]]&lt;0,"Return","Sale")</f>
        <v>Sale</v>
      </c>
    </row>
    <row r="840" spans="1:14" hidden="1">
      <c r="A840" s="1">
        <v>46202</v>
      </c>
      <c r="B840">
        <f>MONTH(data_tab[[#This Row],[Order Date]])</f>
        <v>6</v>
      </c>
      <c r="C840">
        <f>YEAR(data_tab[[#This Row],[Order Date]])</f>
        <v>2026</v>
      </c>
      <c r="D840" t="s">
        <v>31</v>
      </c>
      <c r="E840" t="s">
        <v>32</v>
      </c>
      <c r="F840" t="s">
        <v>21</v>
      </c>
      <c r="G840" t="s">
        <v>17</v>
      </c>
      <c r="H840">
        <v>2</v>
      </c>
      <c r="I840">
        <v>21340</v>
      </c>
      <c r="J840">
        <v>14095.353054936901</v>
      </c>
      <c r="K840" t="str">
        <f>IF(AND(data_tab[[#This Row],[Revenue]]="",data_tab[[#This Row],[Cost]]=""),"Remove",IF(OR(data_tab[[#This Row],[Revenue]]="",data_tab[[#This Row],[Cost]]=""),"Flag","Valid"))</f>
        <v>Valid</v>
      </c>
      <c r="L840" t="str">
        <f>IF((COUNTIFS(data_tab[Revenue],data_tab[[#This Row],[Revenue]],data_tab[Cost],data_tab[[#This Row],[Cost]]))&gt;1,"Duplicate","Unique")</f>
        <v>Unique</v>
      </c>
      <c r="M840">
        <f>data_tab[[#This Row],[Revenue]]-data_tab[[#This Row],[Cost]]</f>
        <v>7244.6469450630993</v>
      </c>
      <c r="N840" t="str">
        <f>IF(data_tab[[#This Row],[Revenue]]&lt;0,"Return","Sale")</f>
        <v>Sale</v>
      </c>
    </row>
    <row r="841" spans="1:14" hidden="1">
      <c r="A841" s="1">
        <v>46027</v>
      </c>
      <c r="B841">
        <f>MONTH(data_tab[[#This Row],[Order Date]])</f>
        <v>1</v>
      </c>
      <c r="C841">
        <f>YEAR(data_tab[[#This Row],[Order Date]])</f>
        <v>2026</v>
      </c>
      <c r="D841" t="s">
        <v>20</v>
      </c>
      <c r="E841" t="s">
        <v>15</v>
      </c>
      <c r="F841" t="s">
        <v>36</v>
      </c>
      <c r="G841" t="s">
        <v>33</v>
      </c>
      <c r="H841">
        <v>9</v>
      </c>
      <c r="I841">
        <v>198747</v>
      </c>
      <c r="J841">
        <v>155035.289300815</v>
      </c>
      <c r="K841" t="str">
        <f>IF(AND(data_tab[[#This Row],[Revenue]]="",data_tab[[#This Row],[Cost]]=""),"Remove",IF(OR(data_tab[[#This Row],[Revenue]]="",data_tab[[#This Row],[Cost]]=""),"Flag","Valid"))</f>
        <v>Valid</v>
      </c>
      <c r="L841" t="str">
        <f>IF((COUNTIFS(data_tab[Revenue],data_tab[[#This Row],[Revenue]],data_tab[Cost],data_tab[[#This Row],[Cost]]))&gt;1,"Duplicate","Unique")</f>
        <v>Unique</v>
      </c>
      <c r="M841">
        <f>data_tab[[#This Row],[Revenue]]-data_tab[[#This Row],[Cost]]</f>
        <v>43711.710699185001</v>
      </c>
      <c r="N841" t="str">
        <f>IF(data_tab[[#This Row],[Revenue]]&lt;0,"Return","Sale")</f>
        <v>Sale</v>
      </c>
    </row>
    <row r="842" spans="1:14" hidden="1">
      <c r="A842" s="1">
        <v>46038</v>
      </c>
      <c r="B842">
        <f>MONTH(data_tab[[#This Row],[Order Date]])</f>
        <v>1</v>
      </c>
      <c r="C842">
        <f>YEAR(data_tab[[#This Row],[Order Date]])</f>
        <v>2026</v>
      </c>
      <c r="D842" t="s">
        <v>35</v>
      </c>
      <c r="E842" t="s">
        <v>32</v>
      </c>
      <c r="F842" t="s">
        <v>24</v>
      </c>
      <c r="G842" t="s">
        <v>37</v>
      </c>
      <c r="H842">
        <v>6</v>
      </c>
      <c r="I842">
        <v>122316</v>
      </c>
      <c r="J842">
        <v>107295.533903181</v>
      </c>
      <c r="K842" t="str">
        <f>IF(AND(data_tab[[#This Row],[Revenue]]="",data_tab[[#This Row],[Cost]]=""),"Remove",IF(OR(data_tab[[#This Row],[Revenue]]="",data_tab[[#This Row],[Cost]]=""),"Flag","Valid"))</f>
        <v>Valid</v>
      </c>
      <c r="L842" t="str">
        <f>IF((COUNTIFS(data_tab[Revenue],data_tab[[#This Row],[Revenue]],data_tab[Cost],data_tab[[#This Row],[Cost]]))&gt;1,"Duplicate","Unique")</f>
        <v>Unique</v>
      </c>
      <c r="M842">
        <f>data_tab[[#This Row],[Revenue]]-data_tab[[#This Row],[Cost]]</f>
        <v>15020.466096819</v>
      </c>
      <c r="N842" t="str">
        <f>IF(data_tab[[#This Row],[Revenue]]&lt;0,"Return","Sale")</f>
        <v>Sale</v>
      </c>
    </row>
    <row r="843" spans="1:14" hidden="1">
      <c r="A843" s="1">
        <v>46069</v>
      </c>
      <c r="B843">
        <f>MONTH(data_tab[[#This Row],[Order Date]])</f>
        <v>2</v>
      </c>
      <c r="C843">
        <f>YEAR(data_tab[[#This Row],[Order Date]])</f>
        <v>2026</v>
      </c>
      <c r="D843" t="s">
        <v>20</v>
      </c>
      <c r="E843" t="s">
        <v>15</v>
      </c>
      <c r="F843" t="s">
        <v>16</v>
      </c>
      <c r="G843" t="s">
        <v>17</v>
      </c>
      <c r="H843">
        <v>5</v>
      </c>
      <c r="I843">
        <v>164680</v>
      </c>
      <c r="J843">
        <v>100794.656935598</v>
      </c>
      <c r="K843" t="str">
        <f>IF(AND(data_tab[[#This Row],[Revenue]]="",data_tab[[#This Row],[Cost]]=""),"Remove",IF(OR(data_tab[[#This Row],[Revenue]]="",data_tab[[#This Row],[Cost]]=""),"Flag","Valid"))</f>
        <v>Valid</v>
      </c>
      <c r="L843" t="str">
        <f>IF((COUNTIFS(data_tab[Revenue],data_tab[[#This Row],[Revenue]],data_tab[Cost],data_tab[[#This Row],[Cost]]))&gt;1,"Duplicate","Unique")</f>
        <v>Unique</v>
      </c>
      <c r="M843">
        <f>data_tab[[#This Row],[Revenue]]-data_tab[[#This Row],[Cost]]</f>
        <v>63885.343064401997</v>
      </c>
      <c r="N843" t="str">
        <f>IF(data_tab[[#This Row],[Revenue]]&lt;0,"Return","Sale")</f>
        <v>Sale</v>
      </c>
    </row>
    <row r="844" spans="1:14">
      <c r="A844" s="1">
        <v>46148</v>
      </c>
      <c r="B844">
        <f>MONTH(data_tab[[#This Row],[Order Date]])</f>
        <v>5</v>
      </c>
      <c r="C844">
        <f>YEAR(data_tab[[#This Row],[Order Date]])</f>
        <v>2026</v>
      </c>
      <c r="D844" t="s">
        <v>20</v>
      </c>
      <c r="E844" t="s">
        <v>15</v>
      </c>
      <c r="F844" t="s">
        <v>24</v>
      </c>
      <c r="G844" t="s">
        <v>41</v>
      </c>
      <c r="H844">
        <v>9</v>
      </c>
      <c r="I844">
        <v>94851</v>
      </c>
      <c r="J844">
        <v>59991.805654604097</v>
      </c>
      <c r="K844" t="str">
        <f>IF(AND(data_tab[[#This Row],[Revenue]]="",data_tab[[#This Row],[Cost]]=""),"Remove",IF(OR(data_tab[[#This Row],[Revenue]]="",data_tab[[#This Row],[Cost]]=""),"Flag","Valid"))</f>
        <v>Valid</v>
      </c>
      <c r="L844" t="str">
        <f>IF((COUNTIFS(data_tab[Revenue],data_tab[[#This Row],[Revenue]],data_tab[Cost],data_tab[[#This Row],[Cost]]))&gt;1,"Duplicate","Unique")</f>
        <v>Unique</v>
      </c>
      <c r="M844">
        <f>data_tab[[#This Row],[Revenue]]-data_tab[[#This Row],[Cost]]</f>
        <v>34859.194345395903</v>
      </c>
      <c r="N844" t="str">
        <f>IF(data_tab[[#This Row],[Revenue]]&lt;0,"Return","Sale")</f>
        <v>Sale</v>
      </c>
    </row>
    <row r="845" spans="1:14">
      <c r="A845" s="1">
        <v>46158</v>
      </c>
      <c r="B845">
        <f>MONTH(data_tab[[#This Row],[Order Date]])</f>
        <v>5</v>
      </c>
      <c r="C845">
        <f>YEAR(data_tab[[#This Row],[Order Date]])</f>
        <v>2026</v>
      </c>
      <c r="D845" t="s">
        <v>35</v>
      </c>
      <c r="E845" t="s">
        <v>32</v>
      </c>
      <c r="F845" t="s">
        <v>21</v>
      </c>
      <c r="G845" t="s">
        <v>26</v>
      </c>
      <c r="H845">
        <v>7</v>
      </c>
      <c r="I845">
        <v>54012</v>
      </c>
      <c r="J845">
        <v>46173.644606164104</v>
      </c>
      <c r="K845" t="str">
        <f>IF(AND(data_tab[[#This Row],[Revenue]]="",data_tab[[#This Row],[Cost]]=""),"Remove",IF(OR(data_tab[[#This Row],[Revenue]]="",data_tab[[#This Row],[Cost]]=""),"Flag","Valid"))</f>
        <v>Valid</v>
      </c>
      <c r="L845" t="str">
        <f>IF((COUNTIFS(data_tab[Revenue],data_tab[[#This Row],[Revenue]],data_tab[Cost],data_tab[[#This Row],[Cost]]))&gt;1,"Duplicate","Unique")</f>
        <v>Unique</v>
      </c>
      <c r="M845">
        <f>data_tab[[#This Row],[Revenue]]-data_tab[[#This Row],[Cost]]</f>
        <v>7838.3553938358964</v>
      </c>
      <c r="N845" t="str">
        <f>IF(data_tab[[#This Row],[Revenue]]&lt;0,"Return","Sale")</f>
        <v>Sale</v>
      </c>
    </row>
    <row r="846" spans="1:14">
      <c r="A846" s="1">
        <v>46173</v>
      </c>
      <c r="B846">
        <f>MONTH(data_tab[[#This Row],[Order Date]])</f>
        <v>5</v>
      </c>
      <c r="C846">
        <f>YEAR(data_tab[[#This Row],[Order Date]])</f>
        <v>2026</v>
      </c>
      <c r="D846" t="s">
        <v>23</v>
      </c>
      <c r="E846" t="s">
        <v>15</v>
      </c>
      <c r="F846" t="s">
        <v>21</v>
      </c>
      <c r="G846" t="s">
        <v>17</v>
      </c>
      <c r="H846">
        <v>8</v>
      </c>
      <c r="I846">
        <v>67712</v>
      </c>
      <c r="J846">
        <v>35884.099021614697</v>
      </c>
      <c r="K846" t="str">
        <f>IF(AND(data_tab[[#This Row],[Revenue]]="",data_tab[[#This Row],[Cost]]=""),"Remove",IF(OR(data_tab[[#This Row],[Revenue]]="",data_tab[[#This Row],[Cost]]=""),"Flag","Valid"))</f>
        <v>Valid</v>
      </c>
      <c r="L846" t="str">
        <f>IF((COUNTIFS(data_tab[Revenue],data_tab[[#This Row],[Revenue]],data_tab[Cost],data_tab[[#This Row],[Cost]]))&gt;1,"Duplicate","Unique")</f>
        <v>Unique</v>
      </c>
      <c r="M846">
        <f>data_tab[[#This Row],[Revenue]]-data_tab[[#This Row],[Cost]]</f>
        <v>31827.900978385303</v>
      </c>
      <c r="N846" t="str">
        <f>IF(data_tab[[#This Row],[Revenue]]&lt;0,"Return","Sale")</f>
        <v>Sale</v>
      </c>
    </row>
    <row r="847" spans="1:14" hidden="1">
      <c r="A847" s="1">
        <v>46074</v>
      </c>
      <c r="B847">
        <f>MONTH(data_tab[[#This Row],[Order Date]])</f>
        <v>2</v>
      </c>
      <c r="C847">
        <f>YEAR(data_tab[[#This Row],[Order Date]])</f>
        <v>2026</v>
      </c>
      <c r="D847" t="s">
        <v>31</v>
      </c>
      <c r="E847" t="s">
        <v>32</v>
      </c>
      <c r="F847" t="s">
        <v>21</v>
      </c>
      <c r="G847" t="s">
        <v>33</v>
      </c>
      <c r="H847">
        <v>9</v>
      </c>
      <c r="I847">
        <v>437715</v>
      </c>
      <c r="J847">
        <v>263071.181022959</v>
      </c>
      <c r="K847" t="str">
        <f>IF(AND(data_tab[[#This Row],[Revenue]]="",data_tab[[#This Row],[Cost]]=""),"Remove",IF(OR(data_tab[[#This Row],[Revenue]]="",data_tab[[#This Row],[Cost]]=""),"Flag","Valid"))</f>
        <v>Valid</v>
      </c>
      <c r="L847" t="str">
        <f>IF((COUNTIFS(data_tab[Revenue],data_tab[[#This Row],[Revenue]],data_tab[Cost],data_tab[[#This Row],[Cost]]))&gt;1,"Duplicate","Unique")</f>
        <v>Unique</v>
      </c>
      <c r="M847">
        <f>data_tab[[#This Row],[Revenue]]-data_tab[[#This Row],[Cost]]</f>
        <v>174643.818977041</v>
      </c>
      <c r="N847" t="str">
        <f>IF(data_tab[[#This Row],[Revenue]]&lt;0,"Return","Sale")</f>
        <v>Sale</v>
      </c>
    </row>
    <row r="848" spans="1:14" hidden="1">
      <c r="A848" s="1">
        <v>46111</v>
      </c>
      <c r="B848">
        <f>MONTH(data_tab[[#This Row],[Order Date]])</f>
        <v>3</v>
      </c>
      <c r="C848">
        <f>YEAR(data_tab[[#This Row],[Order Date]])</f>
        <v>2026</v>
      </c>
      <c r="D848" t="s">
        <v>14</v>
      </c>
      <c r="E848" t="s">
        <v>15</v>
      </c>
      <c r="F848" t="s">
        <v>24</v>
      </c>
      <c r="G848" t="s">
        <v>33</v>
      </c>
      <c r="H848">
        <v>2</v>
      </c>
      <c r="I848">
        <v>-67284</v>
      </c>
      <c r="J848">
        <v>44918.910389855002</v>
      </c>
      <c r="K848" t="str">
        <f>IF(AND(data_tab[[#This Row],[Revenue]]="",data_tab[[#This Row],[Cost]]=""),"Remove",IF(OR(data_tab[[#This Row],[Revenue]]="",data_tab[[#This Row],[Cost]]=""),"Flag","Valid"))</f>
        <v>Valid</v>
      </c>
      <c r="L848" t="str">
        <f>IF((COUNTIFS(data_tab[Revenue],data_tab[[#This Row],[Revenue]],data_tab[Cost],data_tab[[#This Row],[Cost]]))&gt;1,"Duplicate","Unique")</f>
        <v>Unique</v>
      </c>
      <c r="M848">
        <f>data_tab[[#This Row],[Revenue]]-data_tab[[#This Row],[Cost]]</f>
        <v>-112202.91038985501</v>
      </c>
      <c r="N848" t="str">
        <f>IF(data_tab[[#This Row],[Revenue]]&lt;0,"Return","Sale")</f>
        <v>Return</v>
      </c>
    </row>
    <row r="849" spans="1:14" hidden="1">
      <c r="A849" s="1">
        <v>46176</v>
      </c>
      <c r="B849">
        <f>MONTH(data_tab[[#This Row],[Order Date]])</f>
        <v>6</v>
      </c>
      <c r="C849">
        <f>YEAR(data_tab[[#This Row],[Order Date]])</f>
        <v>2026</v>
      </c>
      <c r="D849" t="s">
        <v>35</v>
      </c>
      <c r="E849" t="s">
        <v>32</v>
      </c>
      <c r="F849" t="s">
        <v>24</v>
      </c>
      <c r="G849" t="s">
        <v>26</v>
      </c>
      <c r="H849">
        <v>1</v>
      </c>
      <c r="I849">
        <v>47469</v>
      </c>
      <c r="J849">
        <v>27345.769052055501</v>
      </c>
      <c r="K849" t="str">
        <f>IF(AND(data_tab[[#This Row],[Revenue]]="",data_tab[[#This Row],[Cost]]=""),"Remove",IF(OR(data_tab[[#This Row],[Revenue]]="",data_tab[[#This Row],[Cost]]=""),"Flag","Valid"))</f>
        <v>Valid</v>
      </c>
      <c r="L849" t="str">
        <f>IF((COUNTIFS(data_tab[Revenue],data_tab[[#This Row],[Revenue]],data_tab[Cost],data_tab[[#This Row],[Cost]]))&gt;1,"Duplicate","Unique")</f>
        <v>Unique</v>
      </c>
      <c r="M849">
        <f>data_tab[[#This Row],[Revenue]]-data_tab[[#This Row],[Cost]]</f>
        <v>20123.230947944499</v>
      </c>
      <c r="N849" t="str">
        <f>IF(data_tab[[#This Row],[Revenue]]&lt;0,"Return","Sale")</f>
        <v>Sale</v>
      </c>
    </row>
    <row r="850" spans="1:14">
      <c r="A850" s="1">
        <v>46154</v>
      </c>
      <c r="B850">
        <f>MONTH(data_tab[[#This Row],[Order Date]])</f>
        <v>5</v>
      </c>
      <c r="C850">
        <f>YEAR(data_tab[[#This Row],[Order Date]])</f>
        <v>2026</v>
      </c>
      <c r="D850" t="s">
        <v>23</v>
      </c>
      <c r="E850" t="s">
        <v>15</v>
      </c>
      <c r="F850" t="s">
        <v>36</v>
      </c>
      <c r="G850" t="s">
        <v>26</v>
      </c>
      <c r="H850">
        <v>7</v>
      </c>
      <c r="I850">
        <v>197890</v>
      </c>
      <c r="K850" t="str">
        <f>IF(AND(data_tab[[#This Row],[Revenue]]="",data_tab[[#This Row],[Cost]]=""),"Remove",IF(OR(data_tab[[#This Row],[Revenue]]="",data_tab[[#This Row],[Cost]]=""),"Flag","Valid"))</f>
        <v>Flag</v>
      </c>
      <c r="L850" t="str">
        <f>IF((COUNTIFS(data_tab[Revenue],data_tab[[#This Row],[Revenue]],data_tab[Cost],data_tab[[#This Row],[Cost]]))&gt;1,"Duplicate","Unique")</f>
        <v>Unique</v>
      </c>
      <c r="M850">
        <f>data_tab[[#This Row],[Revenue]]-data_tab[[#This Row],[Cost]]</f>
        <v>197890</v>
      </c>
      <c r="N850" t="str">
        <f>IF(data_tab[[#This Row],[Revenue]]&lt;0,"Return","Sale")</f>
        <v>Sale</v>
      </c>
    </row>
    <row r="851" spans="1:14" hidden="1">
      <c r="A851" s="1">
        <v>46174</v>
      </c>
      <c r="B851">
        <f>MONTH(data_tab[[#This Row],[Order Date]])</f>
        <v>6</v>
      </c>
      <c r="C851">
        <f>YEAR(data_tab[[#This Row],[Order Date]])</f>
        <v>2026</v>
      </c>
      <c r="D851" t="s">
        <v>23</v>
      </c>
      <c r="E851" t="s">
        <v>15</v>
      </c>
      <c r="F851" t="s">
        <v>36</v>
      </c>
      <c r="G851" t="s">
        <v>26</v>
      </c>
      <c r="H851">
        <v>9</v>
      </c>
      <c r="I851">
        <v>170658</v>
      </c>
      <c r="J851">
        <v>106040.749209808</v>
      </c>
      <c r="K851" t="str">
        <f>IF(AND(data_tab[[#This Row],[Revenue]]="",data_tab[[#This Row],[Cost]]=""),"Remove",IF(OR(data_tab[[#This Row],[Revenue]]="",data_tab[[#This Row],[Cost]]=""),"Flag","Valid"))</f>
        <v>Valid</v>
      </c>
      <c r="L851" t="str">
        <f>IF((COUNTIFS(data_tab[Revenue],data_tab[[#This Row],[Revenue]],data_tab[Cost],data_tab[[#This Row],[Cost]]))&gt;1,"Duplicate","Unique")</f>
        <v>Unique</v>
      </c>
      <c r="M851">
        <f>data_tab[[#This Row],[Revenue]]-data_tab[[#This Row],[Cost]]</f>
        <v>64617.250790192003</v>
      </c>
      <c r="N851" t="str">
        <f>IF(data_tab[[#This Row],[Revenue]]&lt;0,"Return","Sale")</f>
        <v>Sale</v>
      </c>
    </row>
    <row r="852" spans="1:14" hidden="1">
      <c r="A852" s="1">
        <v>46066</v>
      </c>
      <c r="B852">
        <f>MONTH(data_tab[[#This Row],[Order Date]])</f>
        <v>2</v>
      </c>
      <c r="C852">
        <f>YEAR(data_tab[[#This Row],[Order Date]])</f>
        <v>2026</v>
      </c>
      <c r="D852" t="s">
        <v>35</v>
      </c>
      <c r="E852" t="s">
        <v>32</v>
      </c>
      <c r="F852" t="s">
        <v>24</v>
      </c>
      <c r="G852" t="s">
        <v>41</v>
      </c>
      <c r="H852">
        <v>3</v>
      </c>
      <c r="I852">
        <v>60609</v>
      </c>
      <c r="J852">
        <v>52784.328579679903</v>
      </c>
      <c r="K852" t="str">
        <f>IF(AND(data_tab[[#This Row],[Revenue]]="",data_tab[[#This Row],[Cost]]=""),"Remove",IF(OR(data_tab[[#This Row],[Revenue]]="",data_tab[[#This Row],[Cost]]=""),"Flag","Valid"))</f>
        <v>Valid</v>
      </c>
      <c r="L852" t="str">
        <f>IF((COUNTIFS(data_tab[Revenue],data_tab[[#This Row],[Revenue]],data_tab[Cost],data_tab[[#This Row],[Cost]]))&gt;1,"Duplicate","Unique")</f>
        <v>Unique</v>
      </c>
      <c r="M852">
        <f>data_tab[[#This Row],[Revenue]]-data_tab[[#This Row],[Cost]]</f>
        <v>7824.6714203200972</v>
      </c>
      <c r="N852" t="str">
        <f>IF(data_tab[[#This Row],[Revenue]]&lt;0,"Return","Sale")</f>
        <v>Sale</v>
      </c>
    </row>
    <row r="853" spans="1:14" hidden="1">
      <c r="A853" s="1">
        <v>46086</v>
      </c>
      <c r="B853">
        <f>MONTH(data_tab[[#This Row],[Order Date]])</f>
        <v>3</v>
      </c>
      <c r="C853">
        <f>YEAR(data_tab[[#This Row],[Order Date]])</f>
        <v>2026</v>
      </c>
      <c r="D853" t="s">
        <v>20</v>
      </c>
      <c r="E853" t="s">
        <v>15</v>
      </c>
      <c r="F853" t="s">
        <v>24</v>
      </c>
      <c r="G853" t="s">
        <v>41</v>
      </c>
      <c r="H853">
        <v>6</v>
      </c>
      <c r="I853">
        <v>260778</v>
      </c>
      <c r="J853">
        <v>193513.91737043599</v>
      </c>
      <c r="K853" t="str">
        <f>IF(AND(data_tab[[#This Row],[Revenue]]="",data_tab[[#This Row],[Cost]]=""),"Remove",IF(OR(data_tab[[#This Row],[Revenue]]="",data_tab[[#This Row],[Cost]]=""),"Flag","Valid"))</f>
        <v>Valid</v>
      </c>
      <c r="L853" t="str">
        <f>IF((COUNTIFS(data_tab[Revenue],data_tab[[#This Row],[Revenue]],data_tab[Cost],data_tab[[#This Row],[Cost]]))&gt;1,"Duplicate","Unique")</f>
        <v>Unique</v>
      </c>
      <c r="M853">
        <f>data_tab[[#This Row],[Revenue]]-data_tab[[#This Row],[Cost]]</f>
        <v>67264.082629564014</v>
      </c>
      <c r="N853" t="str">
        <f>IF(data_tab[[#This Row],[Revenue]]&lt;0,"Return","Sale")</f>
        <v>Sale</v>
      </c>
    </row>
    <row r="854" spans="1:14">
      <c r="A854" s="1">
        <v>46163</v>
      </c>
      <c r="B854">
        <f>MONTH(data_tab[[#This Row],[Order Date]])</f>
        <v>5</v>
      </c>
      <c r="C854">
        <f>YEAR(data_tab[[#This Row],[Order Date]])</f>
        <v>2026</v>
      </c>
      <c r="D854" t="s">
        <v>40</v>
      </c>
      <c r="E854" t="s">
        <v>15</v>
      </c>
      <c r="F854" t="s">
        <v>16</v>
      </c>
      <c r="G854" t="s">
        <v>37</v>
      </c>
      <c r="H854">
        <v>1</v>
      </c>
      <c r="I854">
        <v>43022</v>
      </c>
      <c r="J854">
        <v>35552.041199099302</v>
      </c>
      <c r="K854" t="str">
        <f>IF(AND(data_tab[[#This Row],[Revenue]]="",data_tab[[#This Row],[Cost]]=""),"Remove",IF(OR(data_tab[[#This Row],[Revenue]]="",data_tab[[#This Row],[Cost]]=""),"Flag","Valid"))</f>
        <v>Valid</v>
      </c>
      <c r="L854" t="str">
        <f>IF((COUNTIFS(data_tab[Revenue],data_tab[[#This Row],[Revenue]],data_tab[Cost],data_tab[[#This Row],[Cost]]))&gt;1,"Duplicate","Unique")</f>
        <v>Unique</v>
      </c>
      <c r="M854">
        <f>data_tab[[#This Row],[Revenue]]-data_tab[[#This Row],[Cost]]</f>
        <v>7469.9588009006984</v>
      </c>
      <c r="N854" t="str">
        <f>IF(data_tab[[#This Row],[Revenue]]&lt;0,"Return","Sale")</f>
        <v>Sale</v>
      </c>
    </row>
    <row r="855" spans="1:14" hidden="1">
      <c r="A855" s="1">
        <v>46068</v>
      </c>
      <c r="B855">
        <f>MONTH(data_tab[[#This Row],[Order Date]])</f>
        <v>2</v>
      </c>
      <c r="C855">
        <f>YEAR(data_tab[[#This Row],[Order Date]])</f>
        <v>2026</v>
      </c>
      <c r="D855" t="s">
        <v>14</v>
      </c>
      <c r="E855" t="s">
        <v>15</v>
      </c>
      <c r="F855" t="s">
        <v>24</v>
      </c>
      <c r="G855" t="s">
        <v>41</v>
      </c>
      <c r="H855">
        <v>7</v>
      </c>
      <c r="I855">
        <v>313943</v>
      </c>
      <c r="J855">
        <v>189288.18573322101</v>
      </c>
      <c r="K855" t="str">
        <f>IF(AND(data_tab[[#This Row],[Revenue]]="",data_tab[[#This Row],[Cost]]=""),"Remove",IF(OR(data_tab[[#This Row],[Revenue]]="",data_tab[[#This Row],[Cost]]=""),"Flag","Valid"))</f>
        <v>Valid</v>
      </c>
      <c r="L855" t="str">
        <f>IF((COUNTIFS(data_tab[Revenue],data_tab[[#This Row],[Revenue]],data_tab[Cost],data_tab[[#This Row],[Cost]]))&gt;1,"Duplicate","Unique")</f>
        <v>Unique</v>
      </c>
      <c r="M855">
        <f>data_tab[[#This Row],[Revenue]]-data_tab[[#This Row],[Cost]]</f>
        <v>124654.81426677899</v>
      </c>
      <c r="N855" t="str">
        <f>IF(data_tab[[#This Row],[Revenue]]&lt;0,"Return","Sale")</f>
        <v>Sale</v>
      </c>
    </row>
    <row r="856" spans="1:14" hidden="1">
      <c r="A856" s="1">
        <v>46136</v>
      </c>
      <c r="B856">
        <f>MONTH(data_tab[[#This Row],[Order Date]])</f>
        <v>4</v>
      </c>
      <c r="C856">
        <f>YEAR(data_tab[[#This Row],[Order Date]])</f>
        <v>2026</v>
      </c>
      <c r="D856" t="s">
        <v>40</v>
      </c>
      <c r="E856" t="s">
        <v>15</v>
      </c>
      <c r="F856" t="s">
        <v>36</v>
      </c>
      <c r="G856" t="s">
        <v>17</v>
      </c>
      <c r="H856">
        <v>8</v>
      </c>
      <c r="I856">
        <v>137488</v>
      </c>
      <c r="J856">
        <v>108880.151665495</v>
      </c>
      <c r="K856" t="str">
        <f>IF(AND(data_tab[[#This Row],[Revenue]]="",data_tab[[#This Row],[Cost]]=""),"Remove",IF(OR(data_tab[[#This Row],[Revenue]]="",data_tab[[#This Row],[Cost]]=""),"Flag","Valid"))</f>
        <v>Valid</v>
      </c>
      <c r="L856" t="str">
        <f>IF((COUNTIFS(data_tab[Revenue],data_tab[[#This Row],[Revenue]],data_tab[Cost],data_tab[[#This Row],[Cost]]))&gt;1,"Duplicate","Unique")</f>
        <v>Unique</v>
      </c>
      <c r="M856">
        <f>data_tab[[#This Row],[Revenue]]-data_tab[[#This Row],[Cost]]</f>
        <v>28607.848334505004</v>
      </c>
      <c r="N856" t="str">
        <f>IF(data_tab[[#This Row],[Revenue]]&lt;0,"Return","Sale")</f>
        <v>Sale</v>
      </c>
    </row>
    <row r="857" spans="1:14" hidden="1">
      <c r="A857" s="1">
        <v>46208</v>
      </c>
      <c r="B857">
        <f>MONTH(data_tab[[#This Row],[Order Date]])</f>
        <v>7</v>
      </c>
      <c r="C857">
        <f>YEAR(data_tab[[#This Row],[Order Date]])</f>
        <v>2026</v>
      </c>
      <c r="D857" t="s">
        <v>31</v>
      </c>
      <c r="E857" t="s">
        <v>32</v>
      </c>
      <c r="F857" t="s">
        <v>21</v>
      </c>
      <c r="G857" t="s">
        <v>17</v>
      </c>
      <c r="H857">
        <v>10</v>
      </c>
      <c r="I857">
        <v>341460</v>
      </c>
      <c r="J857">
        <v>299577.20739188202</v>
      </c>
      <c r="K857" t="str">
        <f>IF(AND(data_tab[[#This Row],[Revenue]]="",data_tab[[#This Row],[Cost]]=""),"Remove",IF(OR(data_tab[[#This Row],[Revenue]]="",data_tab[[#This Row],[Cost]]=""),"Flag","Valid"))</f>
        <v>Valid</v>
      </c>
      <c r="L857" t="str">
        <f>IF((COUNTIFS(data_tab[Revenue],data_tab[[#This Row],[Revenue]],data_tab[Cost],data_tab[[#This Row],[Cost]]))&gt;1,"Duplicate","Unique")</f>
        <v>Unique</v>
      </c>
      <c r="M857">
        <f>data_tab[[#This Row],[Revenue]]-data_tab[[#This Row],[Cost]]</f>
        <v>41882.792608117976</v>
      </c>
      <c r="N857" t="str">
        <f>IF(data_tab[[#This Row],[Revenue]]&lt;0,"Return","Sale")</f>
        <v>Sale</v>
      </c>
    </row>
    <row r="858" spans="1:14" hidden="1">
      <c r="A858" s="1">
        <v>46068</v>
      </c>
      <c r="B858">
        <f>MONTH(data_tab[[#This Row],[Order Date]])</f>
        <v>2</v>
      </c>
      <c r="C858">
        <f>YEAR(data_tab[[#This Row],[Order Date]])</f>
        <v>2026</v>
      </c>
      <c r="D858" t="s">
        <v>31</v>
      </c>
      <c r="E858" t="s">
        <v>32</v>
      </c>
      <c r="F858" t="s">
        <v>24</v>
      </c>
      <c r="G858" t="s">
        <v>17</v>
      </c>
      <c r="H858">
        <v>2</v>
      </c>
      <c r="I858">
        <v>59888</v>
      </c>
      <c r="J858">
        <v>35819.104657132797</v>
      </c>
      <c r="K858" t="str">
        <f>IF(AND(data_tab[[#This Row],[Revenue]]="",data_tab[[#This Row],[Cost]]=""),"Remove",IF(OR(data_tab[[#This Row],[Revenue]]="",data_tab[[#This Row],[Cost]]=""),"Flag","Valid"))</f>
        <v>Valid</v>
      </c>
      <c r="L858" t="str">
        <f>IF((COUNTIFS(data_tab[Revenue],data_tab[[#This Row],[Revenue]],data_tab[Cost],data_tab[[#This Row],[Cost]]))&gt;1,"Duplicate","Unique")</f>
        <v>Unique</v>
      </c>
      <c r="M858">
        <f>data_tab[[#This Row],[Revenue]]-data_tab[[#This Row],[Cost]]</f>
        <v>24068.895342867203</v>
      </c>
      <c r="N858" t="str">
        <f>IF(data_tab[[#This Row],[Revenue]]&lt;0,"Return","Sale")</f>
        <v>Sale</v>
      </c>
    </row>
    <row r="859" spans="1:14">
      <c r="A859" s="1">
        <v>46157</v>
      </c>
      <c r="B859">
        <f>MONTH(data_tab[[#This Row],[Order Date]])</f>
        <v>5</v>
      </c>
      <c r="C859">
        <f>YEAR(data_tab[[#This Row],[Order Date]])</f>
        <v>2026</v>
      </c>
      <c r="D859" t="s">
        <v>23</v>
      </c>
      <c r="E859" t="s">
        <v>15</v>
      </c>
      <c r="F859" t="s">
        <v>24</v>
      </c>
      <c r="G859" t="s">
        <v>26</v>
      </c>
      <c r="H859">
        <v>2</v>
      </c>
      <c r="I859">
        <v>53528</v>
      </c>
      <c r="K859" t="str">
        <f>IF(AND(data_tab[[#This Row],[Revenue]]="",data_tab[[#This Row],[Cost]]=""),"Remove",IF(OR(data_tab[[#This Row],[Revenue]]="",data_tab[[#This Row],[Cost]]=""),"Flag","Valid"))</f>
        <v>Flag</v>
      </c>
      <c r="L859" t="str">
        <f>IF((COUNTIFS(data_tab[Revenue],data_tab[[#This Row],[Revenue]],data_tab[Cost],data_tab[[#This Row],[Cost]]))&gt;1,"Duplicate","Unique")</f>
        <v>Unique</v>
      </c>
      <c r="M859">
        <f>data_tab[[#This Row],[Revenue]]-data_tab[[#This Row],[Cost]]</f>
        <v>53528</v>
      </c>
      <c r="N859" t="str">
        <f>IF(data_tab[[#This Row],[Revenue]]&lt;0,"Return","Sale")</f>
        <v>Sale</v>
      </c>
    </row>
    <row r="860" spans="1:14" hidden="1">
      <c r="A860" s="1">
        <v>46357</v>
      </c>
      <c r="B860">
        <f>MONTH(data_tab[[#This Row],[Order Date]])</f>
        <v>12</v>
      </c>
      <c r="C860">
        <f>YEAR(data_tab[[#This Row],[Order Date]])</f>
        <v>2026</v>
      </c>
      <c r="D860" t="s">
        <v>23</v>
      </c>
      <c r="E860" t="s">
        <v>15</v>
      </c>
      <c r="F860" t="s">
        <v>24</v>
      </c>
      <c r="G860" t="s">
        <v>37</v>
      </c>
      <c r="H860">
        <v>3</v>
      </c>
      <c r="I860">
        <v>129348</v>
      </c>
      <c r="K860" t="str">
        <f>IF(AND(data_tab[[#This Row],[Revenue]]="",data_tab[[#This Row],[Cost]]=""),"Remove",IF(OR(data_tab[[#This Row],[Revenue]]="",data_tab[[#This Row],[Cost]]=""),"Flag","Valid"))</f>
        <v>Flag</v>
      </c>
      <c r="L860" t="str">
        <f>IF((COUNTIFS(data_tab[Revenue],data_tab[[#This Row],[Revenue]],data_tab[Cost],data_tab[[#This Row],[Cost]]))&gt;1,"Duplicate","Unique")</f>
        <v>Unique</v>
      </c>
      <c r="M860">
        <f>data_tab[[#This Row],[Revenue]]-data_tab[[#This Row],[Cost]]</f>
        <v>129348</v>
      </c>
      <c r="N860" t="str">
        <f>IF(data_tab[[#This Row],[Revenue]]&lt;0,"Return","Sale")</f>
        <v>Sale</v>
      </c>
    </row>
    <row r="861" spans="1:14">
      <c r="A861" s="1">
        <v>46161</v>
      </c>
      <c r="B861">
        <f>MONTH(data_tab[[#This Row],[Order Date]])</f>
        <v>5</v>
      </c>
      <c r="C861">
        <f>YEAR(data_tab[[#This Row],[Order Date]])</f>
        <v>2026</v>
      </c>
      <c r="D861" t="s">
        <v>14</v>
      </c>
      <c r="E861" t="s">
        <v>15</v>
      </c>
      <c r="F861" t="s">
        <v>24</v>
      </c>
      <c r="G861" t="s">
        <v>17</v>
      </c>
      <c r="H861">
        <v>3</v>
      </c>
      <c r="I861">
        <v>100455</v>
      </c>
      <c r="J861">
        <v>80752.630333963694</v>
      </c>
      <c r="K861" t="str">
        <f>IF(AND(data_tab[[#This Row],[Revenue]]="",data_tab[[#This Row],[Cost]]=""),"Remove",IF(OR(data_tab[[#This Row],[Revenue]]="",data_tab[[#This Row],[Cost]]=""),"Flag","Valid"))</f>
        <v>Valid</v>
      </c>
      <c r="L861" t="str">
        <f>IF((COUNTIFS(data_tab[Revenue],data_tab[[#This Row],[Revenue]],data_tab[Cost],data_tab[[#This Row],[Cost]]))&gt;1,"Duplicate","Unique")</f>
        <v>Duplicate</v>
      </c>
      <c r="M861">
        <f>data_tab[[#This Row],[Revenue]]-data_tab[[#This Row],[Cost]]</f>
        <v>19702.369666036306</v>
      </c>
      <c r="N861" t="str">
        <f>IF(data_tab[[#This Row],[Revenue]]&lt;0,"Return","Sale")</f>
        <v>Sale</v>
      </c>
    </row>
    <row r="862" spans="1:14" hidden="1">
      <c r="A862" s="1">
        <v>46086</v>
      </c>
      <c r="B862">
        <f>MONTH(data_tab[[#This Row],[Order Date]])</f>
        <v>3</v>
      </c>
      <c r="C862">
        <f>YEAR(data_tab[[#This Row],[Order Date]])</f>
        <v>2026</v>
      </c>
      <c r="D862" t="s">
        <v>20</v>
      </c>
      <c r="E862" t="s">
        <v>15</v>
      </c>
      <c r="F862" t="s">
        <v>16</v>
      </c>
      <c r="G862" t="s">
        <v>41</v>
      </c>
      <c r="H862">
        <v>9</v>
      </c>
      <c r="J862">
        <v>46060.947229819903</v>
      </c>
      <c r="K862" t="str">
        <f>IF(AND(data_tab[[#This Row],[Revenue]]="",data_tab[[#This Row],[Cost]]=""),"Remove",IF(OR(data_tab[[#This Row],[Revenue]]="",data_tab[[#This Row],[Cost]]=""),"Flag","Valid"))</f>
        <v>Flag</v>
      </c>
      <c r="L862" t="str">
        <f>IF((COUNTIFS(data_tab[Revenue],data_tab[[#This Row],[Revenue]],data_tab[Cost],data_tab[[#This Row],[Cost]]))&gt;1,"Duplicate","Unique")</f>
        <v>Unique</v>
      </c>
      <c r="M862">
        <f>data_tab[[#This Row],[Revenue]]-data_tab[[#This Row],[Cost]]</f>
        <v>-46060.947229819903</v>
      </c>
      <c r="N862" t="str">
        <f>IF(data_tab[[#This Row],[Revenue]]&lt;0,"Return","Sale")</f>
        <v>Sale</v>
      </c>
    </row>
    <row r="863" spans="1:14" hidden="1">
      <c r="A863" s="1">
        <v>46129</v>
      </c>
      <c r="B863">
        <f>MONTH(data_tab[[#This Row],[Order Date]])</f>
        <v>4</v>
      </c>
      <c r="C863">
        <f>YEAR(data_tab[[#This Row],[Order Date]])</f>
        <v>2026</v>
      </c>
      <c r="D863" t="s">
        <v>31</v>
      </c>
      <c r="E863" t="s">
        <v>32</v>
      </c>
      <c r="F863" t="s">
        <v>24</v>
      </c>
      <c r="G863" t="s">
        <v>17</v>
      </c>
      <c r="H863">
        <v>7</v>
      </c>
      <c r="I863">
        <v>190792</v>
      </c>
      <c r="J863">
        <v>106643.303650047</v>
      </c>
      <c r="K863" t="str">
        <f>IF(AND(data_tab[[#This Row],[Revenue]]="",data_tab[[#This Row],[Cost]]=""),"Remove",IF(OR(data_tab[[#This Row],[Revenue]]="",data_tab[[#This Row],[Cost]]=""),"Flag","Valid"))</f>
        <v>Valid</v>
      </c>
      <c r="L863" t="str">
        <f>IF((COUNTIFS(data_tab[Revenue],data_tab[[#This Row],[Revenue]],data_tab[Cost],data_tab[[#This Row],[Cost]]))&gt;1,"Duplicate","Unique")</f>
        <v>Unique</v>
      </c>
      <c r="M863">
        <f>data_tab[[#This Row],[Revenue]]-data_tab[[#This Row],[Cost]]</f>
        <v>84148.696349952996</v>
      </c>
      <c r="N863" t="str">
        <f>IF(data_tab[[#This Row],[Revenue]]&lt;0,"Return","Sale")</f>
        <v>Sale</v>
      </c>
    </row>
    <row r="864" spans="1:14" hidden="1">
      <c r="A864" s="1">
        <v>46121</v>
      </c>
      <c r="B864">
        <f>MONTH(data_tab[[#This Row],[Order Date]])</f>
        <v>4</v>
      </c>
      <c r="C864">
        <f>YEAR(data_tab[[#This Row],[Order Date]])</f>
        <v>2026</v>
      </c>
      <c r="D864" t="s">
        <v>20</v>
      </c>
      <c r="E864" t="s">
        <v>15</v>
      </c>
      <c r="F864" t="s">
        <v>36</v>
      </c>
      <c r="G864" t="s">
        <v>17</v>
      </c>
      <c r="H864">
        <v>2</v>
      </c>
      <c r="I864">
        <v>33428</v>
      </c>
      <c r="J864">
        <v>18074.335808386601</v>
      </c>
      <c r="K864" t="str">
        <f>IF(AND(data_tab[[#This Row],[Revenue]]="",data_tab[[#This Row],[Cost]]=""),"Remove",IF(OR(data_tab[[#This Row],[Revenue]]="",data_tab[[#This Row],[Cost]]=""),"Flag","Valid"))</f>
        <v>Valid</v>
      </c>
      <c r="L864" t="str">
        <f>IF((COUNTIFS(data_tab[Revenue],data_tab[[#This Row],[Revenue]],data_tab[Cost],data_tab[[#This Row],[Cost]]))&gt;1,"Duplicate","Unique")</f>
        <v>Unique</v>
      </c>
      <c r="M864">
        <f>data_tab[[#This Row],[Revenue]]-data_tab[[#This Row],[Cost]]</f>
        <v>15353.664191613399</v>
      </c>
      <c r="N864" t="str">
        <f>IF(data_tab[[#This Row],[Revenue]]&lt;0,"Return","Sale")</f>
        <v>Sale</v>
      </c>
    </row>
    <row r="865" spans="1:14" hidden="1">
      <c r="A865" s="1">
        <v>46053</v>
      </c>
      <c r="B865">
        <f>MONTH(data_tab[[#This Row],[Order Date]])</f>
        <v>1</v>
      </c>
      <c r="C865">
        <f>YEAR(data_tab[[#This Row],[Order Date]])</f>
        <v>2026</v>
      </c>
      <c r="D865" t="s">
        <v>20</v>
      </c>
      <c r="E865" t="s">
        <v>15</v>
      </c>
      <c r="F865" t="s">
        <v>24</v>
      </c>
      <c r="G865" t="s">
        <v>26</v>
      </c>
      <c r="H865">
        <v>3</v>
      </c>
      <c r="I865">
        <v>41007</v>
      </c>
      <c r="J865">
        <v>27534.205983827698</v>
      </c>
      <c r="K865" t="str">
        <f>IF(AND(data_tab[[#This Row],[Revenue]]="",data_tab[[#This Row],[Cost]]=""),"Remove",IF(OR(data_tab[[#This Row],[Revenue]]="",data_tab[[#This Row],[Cost]]=""),"Flag","Valid"))</f>
        <v>Valid</v>
      </c>
      <c r="L865" t="str">
        <f>IF((COUNTIFS(data_tab[Revenue],data_tab[[#This Row],[Revenue]],data_tab[Cost],data_tab[[#This Row],[Cost]]))&gt;1,"Duplicate","Unique")</f>
        <v>Unique</v>
      </c>
      <c r="M865">
        <f>data_tab[[#This Row],[Revenue]]-data_tab[[#This Row],[Cost]]</f>
        <v>13472.794016172302</v>
      </c>
      <c r="N865" t="str">
        <f>IF(data_tab[[#This Row],[Revenue]]&lt;0,"Return","Sale")</f>
        <v>Sale</v>
      </c>
    </row>
    <row r="866" spans="1:14" hidden="1">
      <c r="A866" s="1">
        <v>46193</v>
      </c>
      <c r="B866">
        <f>MONTH(data_tab[[#This Row],[Order Date]])</f>
        <v>6</v>
      </c>
      <c r="C866">
        <f>YEAR(data_tab[[#This Row],[Order Date]])</f>
        <v>2026</v>
      </c>
      <c r="D866" t="s">
        <v>35</v>
      </c>
      <c r="E866" t="s">
        <v>32</v>
      </c>
      <c r="F866" t="s">
        <v>16</v>
      </c>
      <c r="G866" t="s">
        <v>39</v>
      </c>
      <c r="H866">
        <v>5</v>
      </c>
      <c r="I866">
        <v>173590</v>
      </c>
      <c r="J866">
        <v>132743.00338150299</v>
      </c>
      <c r="K866" t="str">
        <f>IF(AND(data_tab[[#This Row],[Revenue]]="",data_tab[[#This Row],[Cost]]=""),"Remove",IF(OR(data_tab[[#This Row],[Revenue]]="",data_tab[[#This Row],[Cost]]=""),"Flag","Valid"))</f>
        <v>Valid</v>
      </c>
      <c r="L866" t="str">
        <f>IF((COUNTIFS(data_tab[Revenue],data_tab[[#This Row],[Revenue]],data_tab[Cost],data_tab[[#This Row],[Cost]]))&gt;1,"Duplicate","Unique")</f>
        <v>Unique</v>
      </c>
      <c r="M866">
        <f>data_tab[[#This Row],[Revenue]]-data_tab[[#This Row],[Cost]]</f>
        <v>40846.996618497011</v>
      </c>
      <c r="N866" t="str">
        <f>IF(data_tab[[#This Row],[Revenue]]&lt;0,"Return","Sale")</f>
        <v>Sale</v>
      </c>
    </row>
    <row r="867" spans="1:14" hidden="1">
      <c r="A867" s="1">
        <v>46042</v>
      </c>
      <c r="B867">
        <f>MONTH(data_tab[[#This Row],[Order Date]])</f>
        <v>1</v>
      </c>
      <c r="C867">
        <f>YEAR(data_tab[[#This Row],[Order Date]])</f>
        <v>2026</v>
      </c>
      <c r="D867" t="s">
        <v>31</v>
      </c>
      <c r="E867" t="s">
        <v>32</v>
      </c>
      <c r="F867" t="s">
        <v>21</v>
      </c>
      <c r="G867" t="s">
        <v>37</v>
      </c>
      <c r="H867">
        <v>3</v>
      </c>
      <c r="I867">
        <v>82794</v>
      </c>
      <c r="J867">
        <v>56190.479338535399</v>
      </c>
      <c r="K867" t="str">
        <f>IF(AND(data_tab[[#This Row],[Revenue]]="",data_tab[[#This Row],[Cost]]=""),"Remove",IF(OR(data_tab[[#This Row],[Revenue]]="",data_tab[[#This Row],[Cost]]=""),"Flag","Valid"))</f>
        <v>Valid</v>
      </c>
      <c r="L867" t="str">
        <f>IF((COUNTIFS(data_tab[Revenue],data_tab[[#This Row],[Revenue]],data_tab[Cost],data_tab[[#This Row],[Cost]]))&gt;1,"Duplicate","Unique")</f>
        <v>Unique</v>
      </c>
      <c r="M867">
        <f>data_tab[[#This Row],[Revenue]]-data_tab[[#This Row],[Cost]]</f>
        <v>26603.520661464601</v>
      </c>
      <c r="N867" t="str">
        <f>IF(data_tab[[#This Row],[Revenue]]&lt;0,"Return","Sale")</f>
        <v>Sale</v>
      </c>
    </row>
    <row r="868" spans="1:14" hidden="1">
      <c r="A868" s="1">
        <v>46051</v>
      </c>
      <c r="B868">
        <f>MONTH(data_tab[[#This Row],[Order Date]])</f>
        <v>1</v>
      </c>
      <c r="C868">
        <f>YEAR(data_tab[[#This Row],[Order Date]])</f>
        <v>2026</v>
      </c>
      <c r="D868" t="s">
        <v>35</v>
      </c>
      <c r="E868" t="s">
        <v>32</v>
      </c>
      <c r="F868" t="s">
        <v>21</v>
      </c>
      <c r="G868" t="s">
        <v>39</v>
      </c>
      <c r="H868">
        <v>6</v>
      </c>
      <c r="I868">
        <v>62148</v>
      </c>
      <c r="J868">
        <v>35595.2007831597</v>
      </c>
      <c r="K868" t="str">
        <f>IF(AND(data_tab[[#This Row],[Revenue]]="",data_tab[[#This Row],[Cost]]=""),"Remove",IF(OR(data_tab[[#This Row],[Revenue]]="",data_tab[[#This Row],[Cost]]=""),"Flag","Valid"))</f>
        <v>Valid</v>
      </c>
      <c r="L868" t="str">
        <f>IF((COUNTIFS(data_tab[Revenue],data_tab[[#This Row],[Revenue]],data_tab[Cost],data_tab[[#This Row],[Cost]]))&gt;1,"Duplicate","Unique")</f>
        <v>Unique</v>
      </c>
      <c r="M868">
        <f>data_tab[[#This Row],[Revenue]]-data_tab[[#This Row],[Cost]]</f>
        <v>26552.7992168403</v>
      </c>
      <c r="N868" t="str">
        <f>IF(data_tab[[#This Row],[Revenue]]&lt;0,"Return","Sale")</f>
        <v>Sale</v>
      </c>
    </row>
    <row r="869" spans="1:14" hidden="1">
      <c r="A869" s="1">
        <v>46200</v>
      </c>
      <c r="B869">
        <f>MONTH(data_tab[[#This Row],[Order Date]])</f>
        <v>6</v>
      </c>
      <c r="C869">
        <f>YEAR(data_tab[[#This Row],[Order Date]])</f>
        <v>2026</v>
      </c>
      <c r="D869" t="s">
        <v>14</v>
      </c>
      <c r="E869" t="s">
        <v>15</v>
      </c>
      <c r="F869" t="s">
        <v>16</v>
      </c>
      <c r="G869" t="s">
        <v>17</v>
      </c>
      <c r="H869">
        <v>4</v>
      </c>
      <c r="I869">
        <v>108448</v>
      </c>
      <c r="J869">
        <v>72385.119888087298</v>
      </c>
      <c r="K869" t="str">
        <f>IF(AND(data_tab[[#This Row],[Revenue]]="",data_tab[[#This Row],[Cost]]=""),"Remove",IF(OR(data_tab[[#This Row],[Revenue]]="",data_tab[[#This Row],[Cost]]=""),"Flag","Valid"))</f>
        <v>Valid</v>
      </c>
      <c r="L869" t="str">
        <f>IF((COUNTIFS(data_tab[Revenue],data_tab[[#This Row],[Revenue]],data_tab[Cost],data_tab[[#This Row],[Cost]]))&gt;1,"Duplicate","Unique")</f>
        <v>Unique</v>
      </c>
      <c r="M869">
        <f>data_tab[[#This Row],[Revenue]]-data_tab[[#This Row],[Cost]]</f>
        <v>36062.880111912702</v>
      </c>
      <c r="N869" t="str">
        <f>IF(data_tab[[#This Row],[Revenue]]&lt;0,"Return","Sale")</f>
        <v>Sale</v>
      </c>
    </row>
    <row r="870" spans="1:14" hidden="1">
      <c r="A870" s="1">
        <v>46081</v>
      </c>
      <c r="B870">
        <f>MONTH(data_tab[[#This Row],[Order Date]])</f>
        <v>2</v>
      </c>
      <c r="C870">
        <f>YEAR(data_tab[[#This Row],[Order Date]])</f>
        <v>2026</v>
      </c>
      <c r="D870" t="s">
        <v>29</v>
      </c>
      <c r="E870" t="s">
        <v>15</v>
      </c>
      <c r="F870" t="s">
        <v>21</v>
      </c>
      <c r="G870" t="s">
        <v>41</v>
      </c>
      <c r="H870">
        <v>2</v>
      </c>
      <c r="I870">
        <v>34826</v>
      </c>
      <c r="J870">
        <v>22451.757055305799</v>
      </c>
      <c r="K870" t="str">
        <f>IF(AND(data_tab[[#This Row],[Revenue]]="",data_tab[[#This Row],[Cost]]=""),"Remove",IF(OR(data_tab[[#This Row],[Revenue]]="",data_tab[[#This Row],[Cost]]=""),"Flag","Valid"))</f>
        <v>Valid</v>
      </c>
      <c r="L870" t="str">
        <f>IF((COUNTIFS(data_tab[Revenue],data_tab[[#This Row],[Revenue]],data_tab[Cost],data_tab[[#This Row],[Cost]]))&gt;1,"Duplicate","Unique")</f>
        <v>Unique</v>
      </c>
      <c r="M870">
        <f>data_tab[[#This Row],[Revenue]]-data_tab[[#This Row],[Cost]]</f>
        <v>12374.242944694201</v>
      </c>
      <c r="N870" t="str">
        <f>IF(data_tab[[#This Row],[Revenue]]&lt;0,"Return","Sale")</f>
        <v>Sale</v>
      </c>
    </row>
    <row r="871" spans="1:14">
      <c r="A871" s="1">
        <v>46144</v>
      </c>
      <c r="B871">
        <f>MONTH(data_tab[[#This Row],[Order Date]])</f>
        <v>5</v>
      </c>
      <c r="C871">
        <f>YEAR(data_tab[[#This Row],[Order Date]])</f>
        <v>2026</v>
      </c>
      <c r="D871" t="s">
        <v>20</v>
      </c>
      <c r="E871" t="s">
        <v>15</v>
      </c>
      <c r="F871" t="s">
        <v>16</v>
      </c>
      <c r="G871" t="s">
        <v>37</v>
      </c>
      <c r="H871">
        <v>3</v>
      </c>
      <c r="I871">
        <v>63939</v>
      </c>
      <c r="J871">
        <v>43744.209200719502</v>
      </c>
      <c r="K871" t="str">
        <f>IF(AND(data_tab[[#This Row],[Revenue]]="",data_tab[[#This Row],[Cost]]=""),"Remove",IF(OR(data_tab[[#This Row],[Revenue]]="",data_tab[[#This Row],[Cost]]=""),"Flag","Valid"))</f>
        <v>Valid</v>
      </c>
      <c r="L871" t="str">
        <f>IF((COUNTIFS(data_tab[Revenue],data_tab[[#This Row],[Revenue]],data_tab[Cost],data_tab[[#This Row],[Cost]]))&gt;1,"Duplicate","Unique")</f>
        <v>Unique</v>
      </c>
      <c r="M871">
        <f>data_tab[[#This Row],[Revenue]]-data_tab[[#This Row],[Cost]]</f>
        <v>20194.790799280498</v>
      </c>
      <c r="N871" t="str">
        <f>IF(data_tab[[#This Row],[Revenue]]&lt;0,"Return","Sale")</f>
        <v>Sale</v>
      </c>
    </row>
    <row r="872" spans="1:14" hidden="1">
      <c r="A872" s="1">
        <v>46130</v>
      </c>
      <c r="B872">
        <f>MONTH(data_tab[[#This Row],[Order Date]])</f>
        <v>4</v>
      </c>
      <c r="C872">
        <f>YEAR(data_tab[[#This Row],[Order Date]])</f>
        <v>2026</v>
      </c>
      <c r="D872" t="s">
        <v>20</v>
      </c>
      <c r="E872" t="s">
        <v>15</v>
      </c>
      <c r="F872" t="s">
        <v>21</v>
      </c>
      <c r="G872" t="s">
        <v>39</v>
      </c>
      <c r="H872">
        <v>3</v>
      </c>
      <c r="I872">
        <v>80211</v>
      </c>
      <c r="J872">
        <v>63625.980713871999</v>
      </c>
      <c r="K872" t="str">
        <f>IF(AND(data_tab[[#This Row],[Revenue]]="",data_tab[[#This Row],[Cost]]=""),"Remove",IF(OR(data_tab[[#This Row],[Revenue]]="",data_tab[[#This Row],[Cost]]=""),"Flag","Valid"))</f>
        <v>Valid</v>
      </c>
      <c r="L872" t="str">
        <f>IF((COUNTIFS(data_tab[Revenue],data_tab[[#This Row],[Revenue]],data_tab[Cost],data_tab[[#This Row],[Cost]]))&gt;1,"Duplicate","Unique")</f>
        <v>Unique</v>
      </c>
      <c r="M872">
        <f>data_tab[[#This Row],[Revenue]]-data_tab[[#This Row],[Cost]]</f>
        <v>16585.019286128001</v>
      </c>
      <c r="N872" t="str">
        <f>IF(data_tab[[#This Row],[Revenue]]&lt;0,"Return","Sale")</f>
        <v>Sale</v>
      </c>
    </row>
    <row r="873" spans="1:14" hidden="1">
      <c r="A873" s="1">
        <v>46050</v>
      </c>
      <c r="B873">
        <f>MONTH(data_tab[[#This Row],[Order Date]])</f>
        <v>1</v>
      </c>
      <c r="C873">
        <f>YEAR(data_tab[[#This Row],[Order Date]])</f>
        <v>2026</v>
      </c>
      <c r="D873" t="s">
        <v>23</v>
      </c>
      <c r="E873" t="s">
        <v>15</v>
      </c>
      <c r="F873" t="s">
        <v>21</v>
      </c>
      <c r="G873" t="s">
        <v>39</v>
      </c>
      <c r="H873">
        <v>3</v>
      </c>
      <c r="I873">
        <v>77808</v>
      </c>
      <c r="K873" t="str">
        <f>IF(AND(data_tab[[#This Row],[Revenue]]="",data_tab[[#This Row],[Cost]]=""),"Remove",IF(OR(data_tab[[#This Row],[Revenue]]="",data_tab[[#This Row],[Cost]]=""),"Flag","Valid"))</f>
        <v>Flag</v>
      </c>
      <c r="L873" t="str">
        <f>IF((COUNTIFS(data_tab[Revenue],data_tab[[#This Row],[Revenue]],data_tab[Cost],data_tab[[#This Row],[Cost]]))&gt;1,"Duplicate","Unique")</f>
        <v>Unique</v>
      </c>
      <c r="M873">
        <f>data_tab[[#This Row],[Revenue]]-data_tab[[#This Row],[Cost]]</f>
        <v>77808</v>
      </c>
      <c r="N873" t="str">
        <f>IF(data_tab[[#This Row],[Revenue]]&lt;0,"Return","Sale")</f>
        <v>Sale</v>
      </c>
    </row>
    <row r="874" spans="1:14" hidden="1">
      <c r="A874" s="1">
        <v>46129</v>
      </c>
      <c r="B874">
        <f>MONTH(data_tab[[#This Row],[Order Date]])</f>
        <v>4</v>
      </c>
      <c r="C874">
        <f>YEAR(data_tab[[#This Row],[Order Date]])</f>
        <v>2026</v>
      </c>
      <c r="D874" t="s">
        <v>31</v>
      </c>
      <c r="E874" t="s">
        <v>32</v>
      </c>
      <c r="F874" t="s">
        <v>36</v>
      </c>
      <c r="G874" t="s">
        <v>41</v>
      </c>
      <c r="H874">
        <v>3</v>
      </c>
      <c r="I874">
        <v>109698</v>
      </c>
      <c r="J874">
        <v>85501.426201563198</v>
      </c>
      <c r="K874" t="str">
        <f>IF(AND(data_tab[[#This Row],[Revenue]]="",data_tab[[#This Row],[Cost]]=""),"Remove",IF(OR(data_tab[[#This Row],[Revenue]]="",data_tab[[#This Row],[Cost]]=""),"Flag","Valid"))</f>
        <v>Valid</v>
      </c>
      <c r="L874" t="str">
        <f>IF((COUNTIFS(data_tab[Revenue],data_tab[[#This Row],[Revenue]],data_tab[Cost],data_tab[[#This Row],[Cost]]))&gt;1,"Duplicate","Unique")</f>
        <v>Unique</v>
      </c>
      <c r="M874">
        <f>data_tab[[#This Row],[Revenue]]-data_tab[[#This Row],[Cost]]</f>
        <v>24196.573798436802</v>
      </c>
      <c r="N874" t="str">
        <f>IF(data_tab[[#This Row],[Revenue]]&lt;0,"Return","Sale")</f>
        <v>Sale</v>
      </c>
    </row>
    <row r="875" spans="1:14" hidden="1">
      <c r="A875" s="1">
        <v>46188</v>
      </c>
      <c r="B875">
        <f>MONTH(data_tab[[#This Row],[Order Date]])</f>
        <v>6</v>
      </c>
      <c r="C875">
        <f>YEAR(data_tab[[#This Row],[Order Date]])</f>
        <v>2026</v>
      </c>
      <c r="D875" t="s">
        <v>31</v>
      </c>
      <c r="E875" t="s">
        <v>32</v>
      </c>
      <c r="F875" t="s">
        <v>24</v>
      </c>
      <c r="G875" t="s">
        <v>41</v>
      </c>
      <c r="H875">
        <v>1</v>
      </c>
      <c r="I875">
        <v>41595</v>
      </c>
      <c r="K875" t="str">
        <f>IF(AND(data_tab[[#This Row],[Revenue]]="",data_tab[[#This Row],[Cost]]=""),"Remove",IF(OR(data_tab[[#This Row],[Revenue]]="",data_tab[[#This Row],[Cost]]=""),"Flag","Valid"))</f>
        <v>Flag</v>
      </c>
      <c r="L875" t="str">
        <f>IF((COUNTIFS(data_tab[Revenue],data_tab[[#This Row],[Revenue]],data_tab[Cost],data_tab[[#This Row],[Cost]]))&gt;1,"Duplicate","Unique")</f>
        <v>Unique</v>
      </c>
      <c r="M875">
        <f>data_tab[[#This Row],[Revenue]]-data_tab[[#This Row],[Cost]]</f>
        <v>41595</v>
      </c>
      <c r="N875" t="str">
        <f>IF(data_tab[[#This Row],[Revenue]]&lt;0,"Return","Sale")</f>
        <v>Sale</v>
      </c>
    </row>
    <row r="876" spans="1:14" hidden="1">
      <c r="A876" s="1">
        <v>46197</v>
      </c>
      <c r="B876">
        <f>MONTH(data_tab[[#This Row],[Order Date]])</f>
        <v>6</v>
      </c>
      <c r="C876">
        <f>YEAR(data_tab[[#This Row],[Order Date]])</f>
        <v>2026</v>
      </c>
      <c r="D876" t="s">
        <v>14</v>
      </c>
      <c r="E876" t="s">
        <v>15</v>
      </c>
      <c r="F876" t="s">
        <v>16</v>
      </c>
      <c r="G876" t="s">
        <v>26</v>
      </c>
      <c r="H876">
        <v>9</v>
      </c>
      <c r="I876">
        <v>198504</v>
      </c>
      <c r="J876">
        <v>155575.74850366899</v>
      </c>
      <c r="K876" t="str">
        <f>IF(AND(data_tab[[#This Row],[Revenue]]="",data_tab[[#This Row],[Cost]]=""),"Remove",IF(OR(data_tab[[#This Row],[Revenue]]="",data_tab[[#This Row],[Cost]]=""),"Flag","Valid"))</f>
        <v>Valid</v>
      </c>
      <c r="L876" t="str">
        <f>IF((COUNTIFS(data_tab[Revenue],data_tab[[#This Row],[Revenue]],data_tab[Cost],data_tab[[#This Row],[Cost]]))&gt;1,"Duplicate","Unique")</f>
        <v>Unique</v>
      </c>
      <c r="M876">
        <f>data_tab[[#This Row],[Revenue]]-data_tab[[#This Row],[Cost]]</f>
        <v>42928.25149633101</v>
      </c>
      <c r="N876" t="str">
        <f>IF(data_tab[[#This Row],[Revenue]]&lt;0,"Return","Sale")</f>
        <v>Sale</v>
      </c>
    </row>
    <row r="877" spans="1:14">
      <c r="A877" s="1">
        <v>46156</v>
      </c>
      <c r="B877">
        <f>MONTH(data_tab[[#This Row],[Order Date]])</f>
        <v>5</v>
      </c>
      <c r="C877">
        <f>YEAR(data_tab[[#This Row],[Order Date]])</f>
        <v>2026</v>
      </c>
      <c r="D877" t="s">
        <v>14</v>
      </c>
      <c r="E877" t="s">
        <v>15</v>
      </c>
      <c r="F877" t="s">
        <v>21</v>
      </c>
      <c r="G877" t="s">
        <v>33</v>
      </c>
      <c r="H877">
        <v>10</v>
      </c>
      <c r="I877">
        <v>56690</v>
      </c>
      <c r="J877">
        <v>33308.921820309602</v>
      </c>
      <c r="K877" t="str">
        <f>IF(AND(data_tab[[#This Row],[Revenue]]="",data_tab[[#This Row],[Cost]]=""),"Remove",IF(OR(data_tab[[#This Row],[Revenue]]="",data_tab[[#This Row],[Cost]]=""),"Flag","Valid"))</f>
        <v>Valid</v>
      </c>
      <c r="L877" t="str">
        <f>IF((COUNTIFS(data_tab[Revenue],data_tab[[#This Row],[Revenue]],data_tab[Cost],data_tab[[#This Row],[Cost]]))&gt;1,"Duplicate","Unique")</f>
        <v>Unique</v>
      </c>
      <c r="M877">
        <f>data_tab[[#This Row],[Revenue]]-data_tab[[#This Row],[Cost]]</f>
        <v>23381.078179690398</v>
      </c>
      <c r="N877" t="str">
        <f>IF(data_tab[[#This Row],[Revenue]]&lt;0,"Return","Sale")</f>
        <v>Sale</v>
      </c>
    </row>
    <row r="878" spans="1:14" hidden="1">
      <c r="A878" s="1">
        <v>46042</v>
      </c>
      <c r="B878">
        <f>MONTH(data_tab[[#This Row],[Order Date]])</f>
        <v>1</v>
      </c>
      <c r="C878">
        <f>YEAR(data_tab[[#This Row],[Order Date]])</f>
        <v>2026</v>
      </c>
      <c r="D878" t="s">
        <v>35</v>
      </c>
      <c r="E878" t="s">
        <v>32</v>
      </c>
      <c r="F878" t="s">
        <v>36</v>
      </c>
      <c r="G878" t="s">
        <v>33</v>
      </c>
      <c r="H878">
        <v>3</v>
      </c>
      <c r="I878">
        <v>16746</v>
      </c>
      <c r="J878">
        <v>13754.0877032303</v>
      </c>
      <c r="K878" t="str">
        <f>IF(AND(data_tab[[#This Row],[Revenue]]="",data_tab[[#This Row],[Cost]]=""),"Remove",IF(OR(data_tab[[#This Row],[Revenue]]="",data_tab[[#This Row],[Cost]]=""),"Flag","Valid"))</f>
        <v>Valid</v>
      </c>
      <c r="L878" t="str">
        <f>IF((COUNTIFS(data_tab[Revenue],data_tab[[#This Row],[Revenue]],data_tab[Cost],data_tab[[#This Row],[Cost]]))&gt;1,"Duplicate","Unique")</f>
        <v>Unique</v>
      </c>
      <c r="M878">
        <f>data_tab[[#This Row],[Revenue]]-data_tab[[#This Row],[Cost]]</f>
        <v>2991.9122967697003</v>
      </c>
      <c r="N878" t="str">
        <f>IF(data_tab[[#This Row],[Revenue]]&lt;0,"Return","Sale")</f>
        <v>Sale</v>
      </c>
    </row>
    <row r="879" spans="1:14" hidden="1">
      <c r="A879" s="1">
        <v>46042</v>
      </c>
      <c r="B879">
        <f>MONTH(data_tab[[#This Row],[Order Date]])</f>
        <v>1</v>
      </c>
      <c r="C879">
        <f>YEAR(data_tab[[#This Row],[Order Date]])</f>
        <v>2026</v>
      </c>
      <c r="D879" t="s">
        <v>35</v>
      </c>
      <c r="E879" t="s">
        <v>32</v>
      </c>
      <c r="F879" t="s">
        <v>24</v>
      </c>
      <c r="G879" t="s">
        <v>17</v>
      </c>
      <c r="H879">
        <v>5</v>
      </c>
      <c r="I879">
        <v>63330</v>
      </c>
      <c r="J879">
        <v>45383.998422302</v>
      </c>
      <c r="K879" t="str">
        <f>IF(AND(data_tab[[#This Row],[Revenue]]="",data_tab[[#This Row],[Cost]]=""),"Remove",IF(OR(data_tab[[#This Row],[Revenue]]="",data_tab[[#This Row],[Cost]]=""),"Flag","Valid"))</f>
        <v>Valid</v>
      </c>
      <c r="L879" t="str">
        <f>IF((COUNTIFS(data_tab[Revenue],data_tab[[#This Row],[Revenue]],data_tab[Cost],data_tab[[#This Row],[Cost]]))&gt;1,"Duplicate","Unique")</f>
        <v>Unique</v>
      </c>
      <c r="M879">
        <f>data_tab[[#This Row],[Revenue]]-data_tab[[#This Row],[Cost]]</f>
        <v>17946.001577698</v>
      </c>
      <c r="N879" t="str">
        <f>IF(data_tab[[#This Row],[Revenue]]&lt;0,"Return","Sale")</f>
        <v>Sale</v>
      </c>
    </row>
    <row r="880" spans="1:14" hidden="1">
      <c r="A880" s="1">
        <v>46102</v>
      </c>
      <c r="B880">
        <f>MONTH(data_tab[[#This Row],[Order Date]])</f>
        <v>3</v>
      </c>
      <c r="C880">
        <f>YEAR(data_tab[[#This Row],[Order Date]])</f>
        <v>2026</v>
      </c>
      <c r="D880" t="s">
        <v>31</v>
      </c>
      <c r="E880" t="s">
        <v>32</v>
      </c>
      <c r="F880" t="s">
        <v>24</v>
      </c>
      <c r="G880" t="s">
        <v>17</v>
      </c>
      <c r="H880">
        <v>5</v>
      </c>
      <c r="I880">
        <v>37865</v>
      </c>
      <c r="J880">
        <v>33725.0400197735</v>
      </c>
      <c r="K880" t="str">
        <f>IF(AND(data_tab[[#This Row],[Revenue]]="",data_tab[[#This Row],[Cost]]=""),"Remove",IF(OR(data_tab[[#This Row],[Revenue]]="",data_tab[[#This Row],[Cost]]=""),"Flag","Valid"))</f>
        <v>Valid</v>
      </c>
      <c r="L880" t="str">
        <f>IF((COUNTIFS(data_tab[Revenue],data_tab[[#This Row],[Revenue]],data_tab[Cost],data_tab[[#This Row],[Cost]]))&gt;1,"Duplicate","Unique")</f>
        <v>Unique</v>
      </c>
      <c r="M880">
        <f>data_tab[[#This Row],[Revenue]]-data_tab[[#This Row],[Cost]]</f>
        <v>4139.9599802265002</v>
      </c>
      <c r="N880" t="str">
        <f>IF(data_tab[[#This Row],[Revenue]]&lt;0,"Return","Sale")</f>
        <v>Sale</v>
      </c>
    </row>
    <row r="881" spans="1:14" hidden="1">
      <c r="A881" s="1">
        <v>46357</v>
      </c>
      <c r="B881">
        <f>MONTH(data_tab[[#This Row],[Order Date]])</f>
        <v>12</v>
      </c>
      <c r="C881">
        <f>YEAR(data_tab[[#This Row],[Order Date]])</f>
        <v>2026</v>
      </c>
      <c r="D881" t="s">
        <v>20</v>
      </c>
      <c r="E881" t="s">
        <v>15</v>
      </c>
      <c r="F881" t="s">
        <v>16</v>
      </c>
      <c r="G881" t="s">
        <v>39</v>
      </c>
      <c r="H881">
        <v>6</v>
      </c>
      <c r="I881">
        <v>123042</v>
      </c>
      <c r="J881">
        <v>108707.066742102</v>
      </c>
      <c r="K881" t="str">
        <f>IF(AND(data_tab[[#This Row],[Revenue]]="",data_tab[[#This Row],[Cost]]=""),"Remove",IF(OR(data_tab[[#This Row],[Revenue]]="",data_tab[[#This Row],[Cost]]=""),"Flag","Valid"))</f>
        <v>Valid</v>
      </c>
      <c r="L881" t="str">
        <f>IF((COUNTIFS(data_tab[Revenue],data_tab[[#This Row],[Revenue]],data_tab[Cost],data_tab[[#This Row],[Cost]]))&gt;1,"Duplicate","Unique")</f>
        <v>Unique</v>
      </c>
      <c r="M881">
        <f>data_tab[[#This Row],[Revenue]]-data_tab[[#This Row],[Cost]]</f>
        <v>14334.933257897996</v>
      </c>
      <c r="N881" t="str">
        <f>IF(data_tab[[#This Row],[Revenue]]&lt;0,"Return","Sale")</f>
        <v>Sale</v>
      </c>
    </row>
    <row r="882" spans="1:14" hidden="1">
      <c r="A882" s="1">
        <v>46114</v>
      </c>
      <c r="B882">
        <f>MONTH(data_tab[[#This Row],[Order Date]])</f>
        <v>4</v>
      </c>
      <c r="C882">
        <f>YEAR(data_tab[[#This Row],[Order Date]])</f>
        <v>2026</v>
      </c>
      <c r="D882" t="s">
        <v>20</v>
      </c>
      <c r="E882" t="s">
        <v>15</v>
      </c>
      <c r="F882" t="s">
        <v>16</v>
      </c>
      <c r="G882" t="s">
        <v>33</v>
      </c>
      <c r="H882">
        <v>9</v>
      </c>
      <c r="I882">
        <v>77571</v>
      </c>
      <c r="K882" t="str">
        <f>IF(AND(data_tab[[#This Row],[Revenue]]="",data_tab[[#This Row],[Cost]]=""),"Remove",IF(OR(data_tab[[#This Row],[Revenue]]="",data_tab[[#This Row],[Cost]]=""),"Flag","Valid"))</f>
        <v>Flag</v>
      </c>
      <c r="L882" t="str">
        <f>IF((COUNTIFS(data_tab[Revenue],data_tab[[#This Row],[Revenue]],data_tab[Cost],data_tab[[#This Row],[Cost]]))&gt;1,"Duplicate","Unique")</f>
        <v>Unique</v>
      </c>
      <c r="M882">
        <f>data_tab[[#This Row],[Revenue]]-data_tab[[#This Row],[Cost]]</f>
        <v>77571</v>
      </c>
      <c r="N882" t="str">
        <f>IF(data_tab[[#This Row],[Revenue]]&lt;0,"Return","Sale")</f>
        <v>Sale</v>
      </c>
    </row>
    <row r="883" spans="1:14">
      <c r="A883" s="1">
        <v>46145</v>
      </c>
      <c r="B883">
        <f>MONTH(data_tab[[#This Row],[Order Date]])</f>
        <v>5</v>
      </c>
      <c r="C883">
        <f>YEAR(data_tab[[#This Row],[Order Date]])</f>
        <v>2026</v>
      </c>
      <c r="D883" t="s">
        <v>35</v>
      </c>
      <c r="E883" t="s">
        <v>32</v>
      </c>
      <c r="F883" t="s">
        <v>21</v>
      </c>
      <c r="G883" t="s">
        <v>17</v>
      </c>
      <c r="H883">
        <v>8</v>
      </c>
      <c r="I883">
        <v>57288</v>
      </c>
      <c r="J883">
        <v>48928.623786317003</v>
      </c>
      <c r="K883" t="str">
        <f>IF(AND(data_tab[[#This Row],[Revenue]]="",data_tab[[#This Row],[Cost]]=""),"Remove",IF(OR(data_tab[[#This Row],[Revenue]]="",data_tab[[#This Row],[Cost]]=""),"Flag","Valid"))</f>
        <v>Valid</v>
      </c>
      <c r="L883" t="str">
        <f>IF((COUNTIFS(data_tab[Revenue],data_tab[[#This Row],[Revenue]],data_tab[Cost],data_tab[[#This Row],[Cost]]))&gt;1,"Duplicate","Unique")</f>
        <v>Unique</v>
      </c>
      <c r="M883">
        <f>data_tab[[#This Row],[Revenue]]-data_tab[[#This Row],[Cost]]</f>
        <v>8359.3762136829973</v>
      </c>
      <c r="N883" t="str">
        <f>IF(data_tab[[#This Row],[Revenue]]&lt;0,"Return","Sale")</f>
        <v>Sale</v>
      </c>
    </row>
    <row r="884" spans="1:14" hidden="1">
      <c r="A884" s="1">
        <v>46197</v>
      </c>
      <c r="B884">
        <f>MONTH(data_tab[[#This Row],[Order Date]])</f>
        <v>6</v>
      </c>
      <c r="C884">
        <f>YEAR(data_tab[[#This Row],[Order Date]])</f>
        <v>2026</v>
      </c>
      <c r="D884" t="s">
        <v>31</v>
      </c>
      <c r="E884" t="s">
        <v>32</v>
      </c>
      <c r="F884" t="s">
        <v>16</v>
      </c>
      <c r="G884" t="s">
        <v>33</v>
      </c>
      <c r="H884">
        <v>3</v>
      </c>
      <c r="I884">
        <v>72654</v>
      </c>
      <c r="J884">
        <v>44779.3219395173</v>
      </c>
      <c r="K884" t="str">
        <f>IF(AND(data_tab[[#This Row],[Revenue]]="",data_tab[[#This Row],[Cost]]=""),"Remove",IF(OR(data_tab[[#This Row],[Revenue]]="",data_tab[[#This Row],[Cost]]=""),"Flag","Valid"))</f>
        <v>Valid</v>
      </c>
      <c r="L884" t="str">
        <f>IF((COUNTIFS(data_tab[Revenue],data_tab[[#This Row],[Revenue]],data_tab[Cost],data_tab[[#This Row],[Cost]]))&gt;1,"Duplicate","Unique")</f>
        <v>Unique</v>
      </c>
      <c r="M884">
        <f>data_tab[[#This Row],[Revenue]]-data_tab[[#This Row],[Cost]]</f>
        <v>27874.6780604827</v>
      </c>
      <c r="N884" t="str">
        <f>IF(data_tab[[#This Row],[Revenue]]&lt;0,"Return","Sale")</f>
        <v>Sale</v>
      </c>
    </row>
    <row r="885" spans="1:14" hidden="1">
      <c r="A885" s="1">
        <v>46197</v>
      </c>
      <c r="B885">
        <f>MONTH(data_tab[[#This Row],[Order Date]])</f>
        <v>6</v>
      </c>
      <c r="C885">
        <f>YEAR(data_tab[[#This Row],[Order Date]])</f>
        <v>2026</v>
      </c>
      <c r="D885" t="s">
        <v>40</v>
      </c>
      <c r="E885" t="s">
        <v>15</v>
      </c>
      <c r="F885" t="s">
        <v>24</v>
      </c>
      <c r="G885" t="s">
        <v>17</v>
      </c>
      <c r="H885">
        <v>10</v>
      </c>
      <c r="I885">
        <v>431420</v>
      </c>
      <c r="K885" t="str">
        <f>IF(AND(data_tab[[#This Row],[Revenue]]="",data_tab[[#This Row],[Cost]]=""),"Remove",IF(OR(data_tab[[#This Row],[Revenue]]="",data_tab[[#This Row],[Cost]]=""),"Flag","Valid"))</f>
        <v>Flag</v>
      </c>
      <c r="L885" t="str">
        <f>IF((COUNTIFS(data_tab[Revenue],data_tab[[#This Row],[Revenue]],data_tab[Cost],data_tab[[#This Row],[Cost]]))&gt;1,"Duplicate","Unique")</f>
        <v>Unique</v>
      </c>
      <c r="M885">
        <f>data_tab[[#This Row],[Revenue]]-data_tab[[#This Row],[Cost]]</f>
        <v>431420</v>
      </c>
      <c r="N885" t="str">
        <f>IF(data_tab[[#This Row],[Revenue]]&lt;0,"Return","Sale")</f>
        <v>Sale</v>
      </c>
    </row>
    <row r="886" spans="1:14" hidden="1">
      <c r="A886" s="1">
        <v>46102</v>
      </c>
      <c r="B886">
        <f>MONTH(data_tab[[#This Row],[Order Date]])</f>
        <v>3</v>
      </c>
      <c r="C886">
        <f>YEAR(data_tab[[#This Row],[Order Date]])</f>
        <v>2026</v>
      </c>
      <c r="D886" t="s">
        <v>23</v>
      </c>
      <c r="E886" t="s">
        <v>15</v>
      </c>
      <c r="F886" t="s">
        <v>24</v>
      </c>
      <c r="G886" t="s">
        <v>33</v>
      </c>
      <c r="H886">
        <v>2</v>
      </c>
      <c r="I886">
        <v>63612</v>
      </c>
      <c r="J886">
        <v>39788.509582424304</v>
      </c>
      <c r="K886" t="str">
        <f>IF(AND(data_tab[[#This Row],[Revenue]]="",data_tab[[#This Row],[Cost]]=""),"Remove",IF(OR(data_tab[[#This Row],[Revenue]]="",data_tab[[#This Row],[Cost]]=""),"Flag","Valid"))</f>
        <v>Valid</v>
      </c>
      <c r="L886" t="str">
        <f>IF((COUNTIFS(data_tab[Revenue],data_tab[[#This Row],[Revenue]],data_tab[Cost],data_tab[[#This Row],[Cost]]))&gt;1,"Duplicate","Unique")</f>
        <v>Unique</v>
      </c>
      <c r="M886">
        <f>data_tab[[#This Row],[Revenue]]-data_tab[[#This Row],[Cost]]</f>
        <v>23823.490417575696</v>
      </c>
      <c r="N886" t="str">
        <f>IF(data_tab[[#This Row],[Revenue]]&lt;0,"Return","Sale")</f>
        <v>Sale</v>
      </c>
    </row>
    <row r="887" spans="1:14" hidden="1">
      <c r="A887" s="1">
        <v>46116</v>
      </c>
      <c r="B887">
        <f>MONTH(data_tab[[#This Row],[Order Date]])</f>
        <v>4</v>
      </c>
      <c r="C887">
        <f>YEAR(data_tab[[#This Row],[Order Date]])</f>
        <v>2026</v>
      </c>
      <c r="D887" t="s">
        <v>14</v>
      </c>
      <c r="E887" t="s">
        <v>15</v>
      </c>
      <c r="F887" t="s">
        <v>36</v>
      </c>
      <c r="G887" t="s">
        <v>37</v>
      </c>
      <c r="H887">
        <v>8</v>
      </c>
      <c r="I887">
        <v>150224</v>
      </c>
      <c r="J887">
        <v>120969.16009854899</v>
      </c>
      <c r="K887" t="str">
        <f>IF(AND(data_tab[[#This Row],[Revenue]]="",data_tab[[#This Row],[Cost]]=""),"Remove",IF(OR(data_tab[[#This Row],[Revenue]]="",data_tab[[#This Row],[Cost]]=""),"Flag","Valid"))</f>
        <v>Valid</v>
      </c>
      <c r="L887" t="str">
        <f>IF((COUNTIFS(data_tab[Revenue],data_tab[[#This Row],[Revenue]],data_tab[Cost],data_tab[[#This Row],[Cost]]))&gt;1,"Duplicate","Unique")</f>
        <v>Unique</v>
      </c>
      <c r="M887">
        <f>data_tab[[#This Row],[Revenue]]-data_tab[[#This Row],[Cost]]</f>
        <v>29254.839901451007</v>
      </c>
      <c r="N887" t="str">
        <f>IF(data_tab[[#This Row],[Revenue]]&lt;0,"Return","Sale")</f>
        <v>Sale</v>
      </c>
    </row>
    <row r="888" spans="1:14">
      <c r="A888" s="1">
        <v>46168</v>
      </c>
      <c r="B888">
        <f>MONTH(data_tab[[#This Row],[Order Date]])</f>
        <v>5</v>
      </c>
      <c r="C888">
        <f>YEAR(data_tab[[#This Row],[Order Date]])</f>
        <v>2026</v>
      </c>
      <c r="D888" t="s">
        <v>35</v>
      </c>
      <c r="E888" t="s">
        <v>32</v>
      </c>
      <c r="F888" t="s">
        <v>36</v>
      </c>
      <c r="G888" t="s">
        <v>33</v>
      </c>
      <c r="H888">
        <v>10</v>
      </c>
      <c r="I888">
        <v>466020</v>
      </c>
      <c r="J888">
        <v>257053.69393245701</v>
      </c>
      <c r="K888" t="str">
        <f>IF(AND(data_tab[[#This Row],[Revenue]]="",data_tab[[#This Row],[Cost]]=""),"Remove",IF(OR(data_tab[[#This Row],[Revenue]]="",data_tab[[#This Row],[Cost]]=""),"Flag","Valid"))</f>
        <v>Valid</v>
      </c>
      <c r="L888" t="str">
        <f>IF((COUNTIFS(data_tab[Revenue],data_tab[[#This Row],[Revenue]],data_tab[Cost],data_tab[[#This Row],[Cost]]))&gt;1,"Duplicate","Unique")</f>
        <v>Unique</v>
      </c>
      <c r="M888">
        <f>data_tab[[#This Row],[Revenue]]-data_tab[[#This Row],[Cost]]</f>
        <v>208966.30606754299</v>
      </c>
      <c r="N888" t="str">
        <f>IF(data_tab[[#This Row],[Revenue]]&lt;0,"Return","Sale")</f>
        <v>Sale</v>
      </c>
    </row>
    <row r="889" spans="1:14" hidden="1">
      <c r="A889" s="1">
        <v>46177</v>
      </c>
      <c r="B889">
        <f>MONTH(data_tab[[#This Row],[Order Date]])</f>
        <v>6</v>
      </c>
      <c r="C889">
        <f>YEAR(data_tab[[#This Row],[Order Date]])</f>
        <v>2026</v>
      </c>
      <c r="D889" t="s">
        <v>29</v>
      </c>
      <c r="E889" t="s">
        <v>15</v>
      </c>
      <c r="F889" t="s">
        <v>36</v>
      </c>
      <c r="G889" t="s">
        <v>37</v>
      </c>
      <c r="H889">
        <v>1</v>
      </c>
      <c r="I889">
        <v>42672</v>
      </c>
      <c r="J889">
        <v>38019.585132035798</v>
      </c>
      <c r="K889" t="str">
        <f>IF(AND(data_tab[[#This Row],[Revenue]]="",data_tab[[#This Row],[Cost]]=""),"Remove",IF(OR(data_tab[[#This Row],[Revenue]]="",data_tab[[#This Row],[Cost]]=""),"Flag","Valid"))</f>
        <v>Valid</v>
      </c>
      <c r="L889" t="str">
        <f>IF((COUNTIFS(data_tab[Revenue],data_tab[[#This Row],[Revenue]],data_tab[Cost],data_tab[[#This Row],[Cost]]))&gt;1,"Duplicate","Unique")</f>
        <v>Unique</v>
      </c>
      <c r="M889">
        <f>data_tab[[#This Row],[Revenue]]-data_tab[[#This Row],[Cost]]</f>
        <v>4652.4148679642021</v>
      </c>
      <c r="N889" t="str">
        <f>IF(data_tab[[#This Row],[Revenue]]&lt;0,"Return","Sale")</f>
        <v>Sale</v>
      </c>
    </row>
    <row r="890" spans="1:14">
      <c r="A890" s="1">
        <v>46166</v>
      </c>
      <c r="B890">
        <f>MONTH(data_tab[[#This Row],[Order Date]])</f>
        <v>5</v>
      </c>
      <c r="C890">
        <f>YEAR(data_tab[[#This Row],[Order Date]])</f>
        <v>2026</v>
      </c>
      <c r="D890" t="s">
        <v>23</v>
      </c>
      <c r="E890" t="s">
        <v>15</v>
      </c>
      <c r="F890" t="s">
        <v>24</v>
      </c>
      <c r="G890" t="s">
        <v>37</v>
      </c>
      <c r="H890">
        <v>7</v>
      </c>
      <c r="I890">
        <v>86576</v>
      </c>
      <c r="J890">
        <v>63031.958995032597</v>
      </c>
      <c r="K890" t="str">
        <f>IF(AND(data_tab[[#This Row],[Revenue]]="",data_tab[[#This Row],[Cost]]=""),"Remove",IF(OR(data_tab[[#This Row],[Revenue]]="",data_tab[[#This Row],[Cost]]=""),"Flag","Valid"))</f>
        <v>Valid</v>
      </c>
      <c r="L890" t="str">
        <f>IF((COUNTIFS(data_tab[Revenue],data_tab[[#This Row],[Revenue]],data_tab[Cost],data_tab[[#This Row],[Cost]]))&gt;1,"Duplicate","Unique")</f>
        <v>Unique</v>
      </c>
      <c r="M890">
        <f>data_tab[[#This Row],[Revenue]]-data_tab[[#This Row],[Cost]]</f>
        <v>23544.041004967403</v>
      </c>
      <c r="N890" t="str">
        <f>IF(data_tab[[#This Row],[Revenue]]&lt;0,"Return","Sale")</f>
        <v>Sale</v>
      </c>
    </row>
    <row r="891" spans="1:14" hidden="1">
      <c r="A891" s="1">
        <v>46194</v>
      </c>
      <c r="B891">
        <f>MONTH(data_tab[[#This Row],[Order Date]])</f>
        <v>6</v>
      </c>
      <c r="C891">
        <f>YEAR(data_tab[[#This Row],[Order Date]])</f>
        <v>2026</v>
      </c>
      <c r="D891" t="s">
        <v>29</v>
      </c>
      <c r="E891" t="s">
        <v>15</v>
      </c>
      <c r="F891" t="s">
        <v>36</v>
      </c>
      <c r="G891" t="s">
        <v>41</v>
      </c>
      <c r="H891">
        <v>9</v>
      </c>
      <c r="I891">
        <v>292176</v>
      </c>
      <c r="J891">
        <v>158840.78711977901</v>
      </c>
      <c r="K891" t="str">
        <f>IF(AND(data_tab[[#This Row],[Revenue]]="",data_tab[[#This Row],[Cost]]=""),"Remove",IF(OR(data_tab[[#This Row],[Revenue]]="",data_tab[[#This Row],[Cost]]=""),"Flag","Valid"))</f>
        <v>Valid</v>
      </c>
      <c r="L891" t="str">
        <f>IF((COUNTIFS(data_tab[Revenue],data_tab[[#This Row],[Revenue]],data_tab[Cost],data_tab[[#This Row],[Cost]]))&gt;1,"Duplicate","Unique")</f>
        <v>Unique</v>
      </c>
      <c r="M891">
        <f>data_tab[[#This Row],[Revenue]]-data_tab[[#This Row],[Cost]]</f>
        <v>133335.21288022099</v>
      </c>
      <c r="N891" t="str">
        <f>IF(data_tab[[#This Row],[Revenue]]&lt;0,"Return","Sale")</f>
        <v>Sale</v>
      </c>
    </row>
    <row r="892" spans="1:14" hidden="1">
      <c r="A892" s="1">
        <v>46124</v>
      </c>
      <c r="B892">
        <f>MONTH(data_tab[[#This Row],[Order Date]])</f>
        <v>4</v>
      </c>
      <c r="C892">
        <f>YEAR(data_tab[[#This Row],[Order Date]])</f>
        <v>2026</v>
      </c>
      <c r="D892" t="s">
        <v>35</v>
      </c>
      <c r="E892" t="s">
        <v>32</v>
      </c>
      <c r="F892" t="s">
        <v>24</v>
      </c>
      <c r="G892" t="s">
        <v>37</v>
      </c>
      <c r="H892">
        <v>6</v>
      </c>
      <c r="I892">
        <v>249642</v>
      </c>
      <c r="J892">
        <v>173380.86417408701</v>
      </c>
      <c r="K892" t="str">
        <f>IF(AND(data_tab[[#This Row],[Revenue]]="",data_tab[[#This Row],[Cost]]=""),"Remove",IF(OR(data_tab[[#This Row],[Revenue]]="",data_tab[[#This Row],[Cost]]=""),"Flag","Valid"))</f>
        <v>Valid</v>
      </c>
      <c r="L892" t="str">
        <f>IF((COUNTIFS(data_tab[Revenue],data_tab[[#This Row],[Revenue]],data_tab[Cost],data_tab[[#This Row],[Cost]]))&gt;1,"Duplicate","Unique")</f>
        <v>Unique</v>
      </c>
      <c r="M892">
        <f>data_tab[[#This Row],[Revenue]]-data_tab[[#This Row],[Cost]]</f>
        <v>76261.135825912992</v>
      </c>
      <c r="N892" t="str">
        <f>IF(data_tab[[#This Row],[Revenue]]&lt;0,"Return","Sale")</f>
        <v>Sale</v>
      </c>
    </row>
    <row r="893" spans="1:14" hidden="1">
      <c r="A893" s="1">
        <v>46032</v>
      </c>
      <c r="B893">
        <f>MONTH(data_tab[[#This Row],[Order Date]])</f>
        <v>1</v>
      </c>
      <c r="C893">
        <f>YEAR(data_tab[[#This Row],[Order Date]])</f>
        <v>2026</v>
      </c>
      <c r="D893" t="s">
        <v>31</v>
      </c>
      <c r="E893" t="s">
        <v>32</v>
      </c>
      <c r="F893" t="s">
        <v>21</v>
      </c>
      <c r="G893" t="s">
        <v>37</v>
      </c>
      <c r="H893">
        <v>10</v>
      </c>
      <c r="I893">
        <v>40520</v>
      </c>
      <c r="J893">
        <v>36270.4365203251</v>
      </c>
      <c r="K893" t="str">
        <f>IF(AND(data_tab[[#This Row],[Revenue]]="",data_tab[[#This Row],[Cost]]=""),"Remove",IF(OR(data_tab[[#This Row],[Revenue]]="",data_tab[[#This Row],[Cost]]=""),"Flag","Valid"))</f>
        <v>Valid</v>
      </c>
      <c r="L893" t="str">
        <f>IF((COUNTIFS(data_tab[Revenue],data_tab[[#This Row],[Revenue]],data_tab[Cost],data_tab[[#This Row],[Cost]]))&gt;1,"Duplicate","Unique")</f>
        <v>Unique</v>
      </c>
      <c r="M893">
        <f>data_tab[[#This Row],[Revenue]]-data_tab[[#This Row],[Cost]]</f>
        <v>4249.5634796749</v>
      </c>
      <c r="N893" t="str">
        <f>IF(data_tab[[#This Row],[Revenue]]&lt;0,"Return","Sale")</f>
        <v>Sale</v>
      </c>
    </row>
    <row r="894" spans="1:14" hidden="1">
      <c r="A894" s="1">
        <v>46133</v>
      </c>
      <c r="B894">
        <f>MONTH(data_tab[[#This Row],[Order Date]])</f>
        <v>4</v>
      </c>
      <c r="C894">
        <f>YEAR(data_tab[[#This Row],[Order Date]])</f>
        <v>2026</v>
      </c>
      <c r="D894" t="s">
        <v>31</v>
      </c>
      <c r="E894" t="s">
        <v>32</v>
      </c>
      <c r="F894" t="s">
        <v>24</v>
      </c>
      <c r="G894" t="s">
        <v>41</v>
      </c>
      <c r="H894">
        <v>7</v>
      </c>
      <c r="I894">
        <v>137788</v>
      </c>
      <c r="J894">
        <v>82786.959479600395</v>
      </c>
      <c r="K894" t="str">
        <f>IF(AND(data_tab[[#This Row],[Revenue]]="",data_tab[[#This Row],[Cost]]=""),"Remove",IF(OR(data_tab[[#This Row],[Revenue]]="",data_tab[[#This Row],[Cost]]=""),"Flag","Valid"))</f>
        <v>Valid</v>
      </c>
      <c r="L894" t="str">
        <f>IF((COUNTIFS(data_tab[Revenue],data_tab[[#This Row],[Revenue]],data_tab[Cost],data_tab[[#This Row],[Cost]]))&gt;1,"Duplicate","Unique")</f>
        <v>Unique</v>
      </c>
      <c r="M894">
        <f>data_tab[[#This Row],[Revenue]]-data_tab[[#This Row],[Cost]]</f>
        <v>55001.040520399605</v>
      </c>
      <c r="N894" t="str">
        <f>IF(data_tab[[#This Row],[Revenue]]&lt;0,"Return","Sale")</f>
        <v>Sale</v>
      </c>
    </row>
    <row r="895" spans="1:14" hidden="1">
      <c r="A895" s="1">
        <v>46043</v>
      </c>
      <c r="B895">
        <f>MONTH(data_tab[[#This Row],[Order Date]])</f>
        <v>1</v>
      </c>
      <c r="C895">
        <f>YEAR(data_tab[[#This Row],[Order Date]])</f>
        <v>2026</v>
      </c>
      <c r="D895" t="s">
        <v>23</v>
      </c>
      <c r="E895" t="s">
        <v>15</v>
      </c>
      <c r="F895" t="s">
        <v>36</v>
      </c>
      <c r="G895" t="s">
        <v>26</v>
      </c>
      <c r="H895">
        <v>4</v>
      </c>
      <c r="I895">
        <v>183540</v>
      </c>
      <c r="J895">
        <v>157335.875954505</v>
      </c>
      <c r="K895" t="str">
        <f>IF(AND(data_tab[[#This Row],[Revenue]]="",data_tab[[#This Row],[Cost]]=""),"Remove",IF(OR(data_tab[[#This Row],[Revenue]]="",data_tab[[#This Row],[Cost]]=""),"Flag","Valid"))</f>
        <v>Valid</v>
      </c>
      <c r="L895" t="str">
        <f>IF((COUNTIFS(data_tab[Revenue],data_tab[[#This Row],[Revenue]],data_tab[Cost],data_tab[[#This Row],[Cost]]))&gt;1,"Duplicate","Unique")</f>
        <v>Unique</v>
      </c>
      <c r="M895">
        <f>data_tab[[#This Row],[Revenue]]-data_tab[[#This Row],[Cost]]</f>
        <v>26204.124045495002</v>
      </c>
      <c r="N895" t="str">
        <f>IF(data_tab[[#This Row],[Revenue]]&lt;0,"Return","Sale")</f>
        <v>Sale</v>
      </c>
    </row>
    <row r="896" spans="1:14" hidden="1">
      <c r="A896" s="1">
        <v>46132</v>
      </c>
      <c r="B896">
        <f>MONTH(data_tab[[#This Row],[Order Date]])</f>
        <v>4</v>
      </c>
      <c r="C896">
        <f>YEAR(data_tab[[#This Row],[Order Date]])</f>
        <v>2026</v>
      </c>
      <c r="D896" t="s">
        <v>31</v>
      </c>
      <c r="E896" t="s">
        <v>32</v>
      </c>
      <c r="F896" t="s">
        <v>21</v>
      </c>
      <c r="G896" t="s">
        <v>37</v>
      </c>
      <c r="H896">
        <v>7</v>
      </c>
      <c r="I896">
        <v>234941</v>
      </c>
      <c r="J896">
        <v>162156.22349608899</v>
      </c>
      <c r="K896" t="str">
        <f>IF(AND(data_tab[[#This Row],[Revenue]]="",data_tab[[#This Row],[Cost]]=""),"Remove",IF(OR(data_tab[[#This Row],[Revenue]]="",data_tab[[#This Row],[Cost]]=""),"Flag","Valid"))</f>
        <v>Valid</v>
      </c>
      <c r="L896" t="str">
        <f>IF((COUNTIFS(data_tab[Revenue],data_tab[[#This Row],[Revenue]],data_tab[Cost],data_tab[[#This Row],[Cost]]))&gt;1,"Duplicate","Unique")</f>
        <v>Unique</v>
      </c>
      <c r="M896">
        <f>data_tab[[#This Row],[Revenue]]-data_tab[[#This Row],[Cost]]</f>
        <v>72784.776503911009</v>
      </c>
      <c r="N896" t="str">
        <f>IF(data_tab[[#This Row],[Revenue]]&lt;0,"Return","Sale")</f>
        <v>Sale</v>
      </c>
    </row>
    <row r="897" spans="1:14" hidden="1">
      <c r="A897" s="1">
        <v>46113</v>
      </c>
      <c r="B897">
        <f>MONTH(data_tab[[#This Row],[Order Date]])</f>
        <v>4</v>
      </c>
      <c r="C897">
        <f>YEAR(data_tab[[#This Row],[Order Date]])</f>
        <v>2026</v>
      </c>
      <c r="D897" t="s">
        <v>23</v>
      </c>
      <c r="E897" t="s">
        <v>15</v>
      </c>
      <c r="F897" t="s">
        <v>24</v>
      </c>
      <c r="G897" t="s">
        <v>26</v>
      </c>
      <c r="H897">
        <v>10</v>
      </c>
      <c r="I897">
        <v>150120</v>
      </c>
      <c r="J897">
        <v>79732.257618472795</v>
      </c>
      <c r="K897" t="str">
        <f>IF(AND(data_tab[[#This Row],[Revenue]]="",data_tab[[#This Row],[Cost]]=""),"Remove",IF(OR(data_tab[[#This Row],[Revenue]]="",data_tab[[#This Row],[Cost]]=""),"Flag","Valid"))</f>
        <v>Valid</v>
      </c>
      <c r="L897" t="str">
        <f>IF((COUNTIFS(data_tab[Revenue],data_tab[[#This Row],[Revenue]],data_tab[Cost],data_tab[[#This Row],[Cost]]))&gt;1,"Duplicate","Unique")</f>
        <v>Unique</v>
      </c>
      <c r="M897">
        <f>data_tab[[#This Row],[Revenue]]-data_tab[[#This Row],[Cost]]</f>
        <v>70387.742381527205</v>
      </c>
      <c r="N897" t="str">
        <f>IF(data_tab[[#This Row],[Revenue]]&lt;0,"Return","Sale")</f>
        <v>Sale</v>
      </c>
    </row>
    <row r="898" spans="1:14" hidden="1">
      <c r="A898" s="1">
        <v>46104</v>
      </c>
      <c r="B898">
        <f>MONTH(data_tab[[#This Row],[Order Date]])</f>
        <v>3</v>
      </c>
      <c r="C898">
        <f>YEAR(data_tab[[#This Row],[Order Date]])</f>
        <v>2026</v>
      </c>
      <c r="D898" t="s">
        <v>29</v>
      </c>
      <c r="E898" t="s">
        <v>15</v>
      </c>
      <c r="F898" t="s">
        <v>21</v>
      </c>
      <c r="G898" t="s">
        <v>33</v>
      </c>
      <c r="H898">
        <v>6</v>
      </c>
      <c r="I898">
        <v>56670</v>
      </c>
      <c r="J898">
        <v>46288.437250729003</v>
      </c>
      <c r="K898" t="str">
        <f>IF(AND(data_tab[[#This Row],[Revenue]]="",data_tab[[#This Row],[Cost]]=""),"Remove",IF(OR(data_tab[[#This Row],[Revenue]]="",data_tab[[#This Row],[Cost]]=""),"Flag","Valid"))</f>
        <v>Valid</v>
      </c>
      <c r="L898" t="str">
        <f>IF((COUNTIFS(data_tab[Revenue],data_tab[[#This Row],[Revenue]],data_tab[Cost],data_tab[[#This Row],[Cost]]))&gt;1,"Duplicate","Unique")</f>
        <v>Unique</v>
      </c>
      <c r="M898">
        <f>data_tab[[#This Row],[Revenue]]-data_tab[[#This Row],[Cost]]</f>
        <v>10381.562749270997</v>
      </c>
      <c r="N898" t="str">
        <f>IF(data_tab[[#This Row],[Revenue]]&lt;0,"Return","Sale")</f>
        <v>Sale</v>
      </c>
    </row>
    <row r="899" spans="1:14" hidden="1">
      <c r="A899" s="1">
        <v>46138</v>
      </c>
      <c r="B899">
        <f>MONTH(data_tab[[#This Row],[Order Date]])</f>
        <v>4</v>
      </c>
      <c r="C899">
        <f>YEAR(data_tab[[#This Row],[Order Date]])</f>
        <v>2026</v>
      </c>
      <c r="D899" t="s">
        <v>14</v>
      </c>
      <c r="E899" t="s">
        <v>15</v>
      </c>
      <c r="F899" t="s">
        <v>36</v>
      </c>
      <c r="G899" t="s">
        <v>41</v>
      </c>
      <c r="H899">
        <v>10</v>
      </c>
      <c r="I899">
        <v>83860</v>
      </c>
      <c r="J899">
        <v>43153.885432999399</v>
      </c>
      <c r="K899" t="str">
        <f>IF(AND(data_tab[[#This Row],[Revenue]]="",data_tab[[#This Row],[Cost]]=""),"Remove",IF(OR(data_tab[[#This Row],[Revenue]]="",data_tab[[#This Row],[Cost]]=""),"Flag","Valid"))</f>
        <v>Valid</v>
      </c>
      <c r="L899" t="str">
        <f>IF((COUNTIFS(data_tab[Revenue],data_tab[[#This Row],[Revenue]],data_tab[Cost],data_tab[[#This Row],[Cost]]))&gt;1,"Duplicate","Unique")</f>
        <v>Unique</v>
      </c>
      <c r="M899">
        <f>data_tab[[#This Row],[Revenue]]-data_tab[[#This Row],[Cost]]</f>
        <v>40706.114567000601</v>
      </c>
      <c r="N899" t="str">
        <f>IF(data_tab[[#This Row],[Revenue]]&lt;0,"Return","Sale")</f>
        <v>Sale</v>
      </c>
    </row>
    <row r="900" spans="1:14" hidden="1">
      <c r="A900" s="1">
        <v>46065</v>
      </c>
      <c r="B900">
        <f>MONTH(data_tab[[#This Row],[Order Date]])</f>
        <v>2</v>
      </c>
      <c r="C900">
        <f>YEAR(data_tab[[#This Row],[Order Date]])</f>
        <v>2026</v>
      </c>
      <c r="D900" t="s">
        <v>31</v>
      </c>
      <c r="E900" t="s">
        <v>32</v>
      </c>
      <c r="F900" t="s">
        <v>21</v>
      </c>
      <c r="G900" t="s">
        <v>41</v>
      </c>
      <c r="H900">
        <v>10</v>
      </c>
      <c r="I900">
        <v>29410</v>
      </c>
      <c r="J900">
        <v>19060.696467379399</v>
      </c>
      <c r="K900" t="str">
        <f>IF(AND(data_tab[[#This Row],[Revenue]]="",data_tab[[#This Row],[Cost]]=""),"Remove",IF(OR(data_tab[[#This Row],[Revenue]]="",data_tab[[#This Row],[Cost]]=""),"Flag","Valid"))</f>
        <v>Valid</v>
      </c>
      <c r="L900" t="str">
        <f>IF((COUNTIFS(data_tab[Revenue],data_tab[[#This Row],[Revenue]],data_tab[Cost],data_tab[[#This Row],[Cost]]))&gt;1,"Duplicate","Unique")</f>
        <v>Unique</v>
      </c>
      <c r="M900">
        <f>data_tab[[#This Row],[Revenue]]-data_tab[[#This Row],[Cost]]</f>
        <v>10349.303532620601</v>
      </c>
      <c r="N900" t="str">
        <f>IF(data_tab[[#This Row],[Revenue]]&lt;0,"Return","Sale")</f>
        <v>Sale</v>
      </c>
    </row>
    <row r="901" spans="1:14" hidden="1">
      <c r="A901" s="1">
        <v>46054</v>
      </c>
      <c r="B901">
        <f>MONTH(data_tab[[#This Row],[Order Date]])</f>
        <v>2</v>
      </c>
      <c r="C901">
        <f>YEAR(data_tab[[#This Row],[Order Date]])</f>
        <v>2026</v>
      </c>
      <c r="D901" t="s">
        <v>29</v>
      </c>
      <c r="E901" t="s">
        <v>15</v>
      </c>
      <c r="F901" t="s">
        <v>36</v>
      </c>
      <c r="G901" t="s">
        <v>33</v>
      </c>
      <c r="H901">
        <v>6</v>
      </c>
      <c r="I901">
        <v>150492</v>
      </c>
      <c r="J901">
        <v>125100.13860036399</v>
      </c>
      <c r="K901" t="str">
        <f>IF(AND(data_tab[[#This Row],[Revenue]]="",data_tab[[#This Row],[Cost]]=""),"Remove",IF(OR(data_tab[[#This Row],[Revenue]]="",data_tab[[#This Row],[Cost]]=""),"Flag","Valid"))</f>
        <v>Valid</v>
      </c>
      <c r="L901" t="str">
        <f>IF((COUNTIFS(data_tab[Revenue],data_tab[[#This Row],[Revenue]],data_tab[Cost],data_tab[[#This Row],[Cost]]))&gt;1,"Duplicate","Unique")</f>
        <v>Duplicate</v>
      </c>
      <c r="M901">
        <f>data_tab[[#This Row],[Revenue]]-data_tab[[#This Row],[Cost]]</f>
        <v>25391.861399636007</v>
      </c>
      <c r="N901" t="str">
        <f>IF(data_tab[[#This Row],[Revenue]]&lt;0,"Return","Sale")</f>
        <v>Sale</v>
      </c>
    </row>
    <row r="902" spans="1:14" hidden="1">
      <c r="A902" s="1">
        <v>46068</v>
      </c>
      <c r="B902">
        <f>MONTH(data_tab[[#This Row],[Order Date]])</f>
        <v>2</v>
      </c>
      <c r="C902">
        <f>YEAR(data_tab[[#This Row],[Order Date]])</f>
        <v>2026</v>
      </c>
      <c r="D902" t="s">
        <v>40</v>
      </c>
      <c r="E902" t="s">
        <v>15</v>
      </c>
      <c r="F902" t="s">
        <v>21</v>
      </c>
      <c r="G902" t="s">
        <v>26</v>
      </c>
      <c r="H902">
        <v>7</v>
      </c>
      <c r="I902">
        <v>189042</v>
      </c>
      <c r="J902">
        <v>116073.900351285</v>
      </c>
      <c r="K902" t="str">
        <f>IF(AND(data_tab[[#This Row],[Revenue]]="",data_tab[[#This Row],[Cost]]=""),"Remove",IF(OR(data_tab[[#This Row],[Revenue]]="",data_tab[[#This Row],[Cost]]=""),"Flag","Valid"))</f>
        <v>Valid</v>
      </c>
      <c r="L902" t="str">
        <f>IF((COUNTIFS(data_tab[Revenue],data_tab[[#This Row],[Revenue]],data_tab[Cost],data_tab[[#This Row],[Cost]]))&gt;1,"Duplicate","Unique")</f>
        <v>Unique</v>
      </c>
      <c r="M902">
        <f>data_tab[[#This Row],[Revenue]]-data_tab[[#This Row],[Cost]]</f>
        <v>72968.099648714997</v>
      </c>
      <c r="N902" t="str">
        <f>IF(data_tab[[#This Row],[Revenue]]&lt;0,"Return","Sale")</f>
        <v>Sale</v>
      </c>
    </row>
    <row r="903" spans="1:14" hidden="1">
      <c r="A903" s="1">
        <v>46202</v>
      </c>
      <c r="B903">
        <f>MONTH(data_tab[[#This Row],[Order Date]])</f>
        <v>6</v>
      </c>
      <c r="C903">
        <f>YEAR(data_tab[[#This Row],[Order Date]])</f>
        <v>2026</v>
      </c>
      <c r="D903" t="s">
        <v>23</v>
      </c>
      <c r="E903" t="s">
        <v>15</v>
      </c>
      <c r="F903" t="s">
        <v>24</v>
      </c>
      <c r="G903" t="s">
        <v>39</v>
      </c>
      <c r="H903">
        <v>2</v>
      </c>
      <c r="I903">
        <v>15748</v>
      </c>
      <c r="J903">
        <v>11966.1151935657</v>
      </c>
      <c r="K903" t="str">
        <f>IF(AND(data_tab[[#This Row],[Revenue]]="",data_tab[[#This Row],[Cost]]=""),"Remove",IF(OR(data_tab[[#This Row],[Revenue]]="",data_tab[[#This Row],[Cost]]=""),"Flag","Valid"))</f>
        <v>Valid</v>
      </c>
      <c r="L903" t="str">
        <f>IF((COUNTIFS(data_tab[Revenue],data_tab[[#This Row],[Revenue]],data_tab[Cost],data_tab[[#This Row],[Cost]]))&gt;1,"Duplicate","Unique")</f>
        <v>Duplicate</v>
      </c>
      <c r="M903">
        <f>data_tab[[#This Row],[Revenue]]-data_tab[[#This Row],[Cost]]</f>
        <v>3781.8848064343001</v>
      </c>
      <c r="N903" t="str">
        <f>IF(data_tab[[#This Row],[Revenue]]&lt;0,"Return","Sale")</f>
        <v>Sale</v>
      </c>
    </row>
    <row r="904" spans="1:14" hidden="1">
      <c r="A904" s="1">
        <v>46182</v>
      </c>
      <c r="B904">
        <f>MONTH(data_tab[[#This Row],[Order Date]])</f>
        <v>6</v>
      </c>
      <c r="C904">
        <f>YEAR(data_tab[[#This Row],[Order Date]])</f>
        <v>2026</v>
      </c>
      <c r="D904" t="s">
        <v>29</v>
      </c>
      <c r="E904" t="s">
        <v>15</v>
      </c>
      <c r="F904" t="s">
        <v>24</v>
      </c>
      <c r="G904" t="s">
        <v>41</v>
      </c>
      <c r="H904">
        <v>5</v>
      </c>
      <c r="I904">
        <v>147835</v>
      </c>
      <c r="J904">
        <v>86446.287192357602</v>
      </c>
      <c r="K904" t="str">
        <f>IF(AND(data_tab[[#This Row],[Revenue]]="",data_tab[[#This Row],[Cost]]=""),"Remove",IF(OR(data_tab[[#This Row],[Revenue]]="",data_tab[[#This Row],[Cost]]=""),"Flag","Valid"))</f>
        <v>Valid</v>
      </c>
      <c r="L904" t="str">
        <f>IF((COUNTIFS(data_tab[Revenue],data_tab[[#This Row],[Revenue]],data_tab[Cost],data_tab[[#This Row],[Cost]]))&gt;1,"Duplicate","Unique")</f>
        <v>Duplicate</v>
      </c>
      <c r="M904">
        <f>data_tab[[#This Row],[Revenue]]-data_tab[[#This Row],[Cost]]</f>
        <v>61388.712807642398</v>
      </c>
      <c r="N904" t="str">
        <f>IF(data_tab[[#This Row],[Revenue]]&lt;0,"Return","Sale")</f>
        <v>Sale</v>
      </c>
    </row>
    <row r="905" spans="1:14">
      <c r="A905" s="1">
        <v>46143</v>
      </c>
      <c r="B905">
        <f>MONTH(data_tab[[#This Row],[Order Date]])</f>
        <v>5</v>
      </c>
      <c r="C905">
        <f>YEAR(data_tab[[#This Row],[Order Date]])</f>
        <v>2026</v>
      </c>
      <c r="D905" t="s">
        <v>23</v>
      </c>
      <c r="E905" t="s">
        <v>15</v>
      </c>
      <c r="F905" t="s">
        <v>36</v>
      </c>
      <c r="G905" t="s">
        <v>33</v>
      </c>
      <c r="H905">
        <v>7</v>
      </c>
      <c r="I905">
        <v>17486</v>
      </c>
      <c r="J905">
        <v>15315.055813041299</v>
      </c>
      <c r="K905" t="str">
        <f>IF(AND(data_tab[[#This Row],[Revenue]]="",data_tab[[#This Row],[Cost]]=""),"Remove",IF(OR(data_tab[[#This Row],[Revenue]]="",data_tab[[#This Row],[Cost]]=""),"Flag","Valid"))</f>
        <v>Valid</v>
      </c>
      <c r="L905" t="str">
        <f>IF((COUNTIFS(data_tab[Revenue],data_tab[[#This Row],[Revenue]],data_tab[Cost],data_tab[[#This Row],[Cost]]))&gt;1,"Duplicate","Unique")</f>
        <v>Unique</v>
      </c>
      <c r="M905">
        <f>data_tab[[#This Row],[Revenue]]-data_tab[[#This Row],[Cost]]</f>
        <v>2170.9441869587008</v>
      </c>
      <c r="N905" t="str">
        <f>IF(data_tab[[#This Row],[Revenue]]&lt;0,"Return","Sale")</f>
        <v>Sale</v>
      </c>
    </row>
    <row r="906" spans="1:14" hidden="1">
      <c r="A906" s="1">
        <v>46191</v>
      </c>
      <c r="B906">
        <f>MONTH(data_tab[[#This Row],[Order Date]])</f>
        <v>6</v>
      </c>
      <c r="C906">
        <f>YEAR(data_tab[[#This Row],[Order Date]])</f>
        <v>2026</v>
      </c>
      <c r="D906" t="s">
        <v>23</v>
      </c>
      <c r="E906" t="s">
        <v>15</v>
      </c>
      <c r="F906" t="s">
        <v>36</v>
      </c>
      <c r="G906" t="s">
        <v>41</v>
      </c>
      <c r="H906">
        <v>4</v>
      </c>
      <c r="I906">
        <v>9088</v>
      </c>
      <c r="K906" t="str">
        <f>IF(AND(data_tab[[#This Row],[Revenue]]="",data_tab[[#This Row],[Cost]]=""),"Remove",IF(OR(data_tab[[#This Row],[Revenue]]="",data_tab[[#This Row],[Cost]]=""),"Flag","Valid"))</f>
        <v>Flag</v>
      </c>
      <c r="L906" t="str">
        <f>IF((COUNTIFS(data_tab[Revenue],data_tab[[#This Row],[Revenue]],data_tab[Cost],data_tab[[#This Row],[Cost]]))&gt;1,"Duplicate","Unique")</f>
        <v>Unique</v>
      </c>
      <c r="M906">
        <f>data_tab[[#This Row],[Revenue]]-data_tab[[#This Row],[Cost]]</f>
        <v>9088</v>
      </c>
      <c r="N906" t="str">
        <f>IF(data_tab[[#This Row],[Revenue]]&lt;0,"Return","Sale")</f>
        <v>Sale</v>
      </c>
    </row>
    <row r="907" spans="1:14" hidden="1">
      <c r="A907" s="1">
        <v>46118</v>
      </c>
      <c r="B907">
        <f>MONTH(data_tab[[#This Row],[Order Date]])</f>
        <v>4</v>
      </c>
      <c r="C907">
        <f>YEAR(data_tab[[#This Row],[Order Date]])</f>
        <v>2026</v>
      </c>
      <c r="D907" t="s">
        <v>14</v>
      </c>
      <c r="E907" t="s">
        <v>15</v>
      </c>
      <c r="F907" t="s">
        <v>16</v>
      </c>
      <c r="G907" t="s">
        <v>37</v>
      </c>
      <c r="H907">
        <v>3</v>
      </c>
      <c r="I907">
        <v>118494</v>
      </c>
      <c r="J907">
        <v>106304.71772814001</v>
      </c>
      <c r="K907" t="str">
        <f>IF(AND(data_tab[[#This Row],[Revenue]]="",data_tab[[#This Row],[Cost]]=""),"Remove",IF(OR(data_tab[[#This Row],[Revenue]]="",data_tab[[#This Row],[Cost]]=""),"Flag","Valid"))</f>
        <v>Valid</v>
      </c>
      <c r="L907" t="str">
        <f>IF((COUNTIFS(data_tab[Revenue],data_tab[[#This Row],[Revenue]],data_tab[Cost],data_tab[[#This Row],[Cost]]))&gt;1,"Duplicate","Unique")</f>
        <v>Unique</v>
      </c>
      <c r="M907">
        <f>data_tab[[#This Row],[Revenue]]-data_tab[[#This Row],[Cost]]</f>
        <v>12189.282271859993</v>
      </c>
      <c r="N907" t="str">
        <f>IF(data_tab[[#This Row],[Revenue]]&lt;0,"Return","Sale")</f>
        <v>Sale</v>
      </c>
    </row>
    <row r="908" spans="1:14" hidden="1">
      <c r="A908" s="1">
        <v>46187</v>
      </c>
      <c r="B908">
        <f>MONTH(data_tab[[#This Row],[Order Date]])</f>
        <v>6</v>
      </c>
      <c r="C908">
        <f>YEAR(data_tab[[#This Row],[Order Date]])</f>
        <v>2026</v>
      </c>
      <c r="D908" t="s">
        <v>40</v>
      </c>
      <c r="E908" t="s">
        <v>15</v>
      </c>
      <c r="F908" t="s">
        <v>36</v>
      </c>
      <c r="G908" t="s">
        <v>17</v>
      </c>
      <c r="H908">
        <v>7</v>
      </c>
      <c r="I908">
        <v>348019</v>
      </c>
      <c r="J908">
        <v>198192.26434867401</v>
      </c>
      <c r="K908" t="str">
        <f>IF(AND(data_tab[[#This Row],[Revenue]]="",data_tab[[#This Row],[Cost]]=""),"Remove",IF(OR(data_tab[[#This Row],[Revenue]]="",data_tab[[#This Row],[Cost]]=""),"Flag","Valid"))</f>
        <v>Valid</v>
      </c>
      <c r="L908" t="str">
        <f>IF((COUNTIFS(data_tab[Revenue],data_tab[[#This Row],[Revenue]],data_tab[Cost],data_tab[[#This Row],[Cost]]))&gt;1,"Duplicate","Unique")</f>
        <v>Unique</v>
      </c>
      <c r="M908">
        <f>data_tab[[#This Row],[Revenue]]-data_tab[[#This Row],[Cost]]</f>
        <v>149826.73565132599</v>
      </c>
      <c r="N908" t="str">
        <f>IF(data_tab[[#This Row],[Revenue]]&lt;0,"Return","Sale")</f>
        <v>Sale</v>
      </c>
    </row>
    <row r="909" spans="1:14" hidden="1">
      <c r="A909" s="1">
        <v>46048</v>
      </c>
      <c r="B909">
        <f>MONTH(data_tab[[#This Row],[Order Date]])</f>
        <v>1</v>
      </c>
      <c r="C909">
        <f>YEAR(data_tab[[#This Row],[Order Date]])</f>
        <v>2026</v>
      </c>
      <c r="D909" t="s">
        <v>20</v>
      </c>
      <c r="E909" t="s">
        <v>15</v>
      </c>
      <c r="F909" t="s">
        <v>36</v>
      </c>
      <c r="G909" t="s">
        <v>41</v>
      </c>
      <c r="H909">
        <v>5</v>
      </c>
      <c r="I909">
        <v>-191175</v>
      </c>
      <c r="J909">
        <v>107750.295818799</v>
      </c>
      <c r="K909" t="str">
        <f>IF(AND(data_tab[[#This Row],[Revenue]]="",data_tab[[#This Row],[Cost]]=""),"Remove",IF(OR(data_tab[[#This Row],[Revenue]]="",data_tab[[#This Row],[Cost]]=""),"Flag","Valid"))</f>
        <v>Valid</v>
      </c>
      <c r="L909" t="str">
        <f>IF((COUNTIFS(data_tab[Revenue],data_tab[[#This Row],[Revenue]],data_tab[Cost],data_tab[[#This Row],[Cost]]))&gt;1,"Duplicate","Unique")</f>
        <v>Unique</v>
      </c>
      <c r="M909">
        <f>data_tab[[#This Row],[Revenue]]-data_tab[[#This Row],[Cost]]</f>
        <v>-298925.295818799</v>
      </c>
      <c r="N909" t="str">
        <f>IF(data_tab[[#This Row],[Revenue]]&lt;0,"Return","Sale")</f>
        <v>Return</v>
      </c>
    </row>
    <row r="910" spans="1:14" hidden="1">
      <c r="A910" s="1">
        <v>46025</v>
      </c>
      <c r="B910">
        <f>MONTH(data_tab[[#This Row],[Order Date]])</f>
        <v>1</v>
      </c>
      <c r="C910">
        <f>YEAR(data_tab[[#This Row],[Order Date]])</f>
        <v>2026</v>
      </c>
      <c r="D910" t="s">
        <v>20</v>
      </c>
      <c r="E910" t="s">
        <v>15</v>
      </c>
      <c r="F910" t="s">
        <v>24</v>
      </c>
      <c r="G910" t="s">
        <v>26</v>
      </c>
      <c r="H910">
        <v>7</v>
      </c>
      <c r="I910">
        <v>25599</v>
      </c>
      <c r="J910">
        <v>20400.760813644501</v>
      </c>
      <c r="K910" t="str">
        <f>IF(AND(data_tab[[#This Row],[Revenue]]="",data_tab[[#This Row],[Cost]]=""),"Remove",IF(OR(data_tab[[#This Row],[Revenue]]="",data_tab[[#This Row],[Cost]]=""),"Flag","Valid"))</f>
        <v>Valid</v>
      </c>
      <c r="L910" t="str">
        <f>IF((COUNTIFS(data_tab[Revenue],data_tab[[#This Row],[Revenue]],data_tab[Cost],data_tab[[#This Row],[Cost]]))&gt;1,"Duplicate","Unique")</f>
        <v>Unique</v>
      </c>
      <c r="M910">
        <f>data_tab[[#This Row],[Revenue]]-data_tab[[#This Row],[Cost]]</f>
        <v>5198.2391863554985</v>
      </c>
      <c r="N910" t="str">
        <f>IF(data_tab[[#This Row],[Revenue]]&lt;0,"Return","Sale")</f>
        <v>Sale</v>
      </c>
    </row>
    <row r="911" spans="1:14" hidden="1">
      <c r="A911" s="1">
        <v>46057</v>
      </c>
      <c r="B911">
        <f>MONTH(data_tab[[#This Row],[Order Date]])</f>
        <v>2</v>
      </c>
      <c r="C911">
        <f>YEAR(data_tab[[#This Row],[Order Date]])</f>
        <v>2026</v>
      </c>
      <c r="D911" t="s">
        <v>14</v>
      </c>
      <c r="E911" t="s">
        <v>15</v>
      </c>
      <c r="F911" t="s">
        <v>21</v>
      </c>
      <c r="G911" t="s">
        <v>37</v>
      </c>
      <c r="H911">
        <v>4</v>
      </c>
      <c r="I911">
        <v>148356</v>
      </c>
      <c r="J911">
        <v>124052.723195853</v>
      </c>
      <c r="K911" t="str">
        <f>IF(AND(data_tab[[#This Row],[Revenue]]="",data_tab[[#This Row],[Cost]]=""),"Remove",IF(OR(data_tab[[#This Row],[Revenue]]="",data_tab[[#This Row],[Cost]]=""),"Flag","Valid"))</f>
        <v>Valid</v>
      </c>
      <c r="L911" t="str">
        <f>IF((COUNTIFS(data_tab[Revenue],data_tab[[#This Row],[Revenue]],data_tab[Cost],data_tab[[#This Row],[Cost]]))&gt;1,"Duplicate","Unique")</f>
        <v>Unique</v>
      </c>
      <c r="M911">
        <f>data_tab[[#This Row],[Revenue]]-data_tab[[#This Row],[Cost]]</f>
        <v>24303.276804146997</v>
      </c>
      <c r="N911" t="str">
        <f>IF(data_tab[[#This Row],[Revenue]]&lt;0,"Return","Sale")</f>
        <v>Sale</v>
      </c>
    </row>
    <row r="912" spans="1:14" hidden="1">
      <c r="A912" s="1">
        <v>46089</v>
      </c>
      <c r="B912">
        <f>MONTH(data_tab[[#This Row],[Order Date]])</f>
        <v>3</v>
      </c>
      <c r="C912">
        <f>YEAR(data_tab[[#This Row],[Order Date]])</f>
        <v>2026</v>
      </c>
      <c r="D912" t="s">
        <v>31</v>
      </c>
      <c r="E912" t="s">
        <v>32</v>
      </c>
      <c r="F912" t="s">
        <v>24</v>
      </c>
      <c r="G912" t="s">
        <v>41</v>
      </c>
      <c r="H912">
        <v>10</v>
      </c>
      <c r="I912">
        <v>87770</v>
      </c>
      <c r="J912">
        <v>47779.583773069498</v>
      </c>
      <c r="K912" t="str">
        <f>IF(AND(data_tab[[#This Row],[Revenue]]="",data_tab[[#This Row],[Cost]]=""),"Remove",IF(OR(data_tab[[#This Row],[Revenue]]="",data_tab[[#This Row],[Cost]]=""),"Flag","Valid"))</f>
        <v>Valid</v>
      </c>
      <c r="L912" t="str">
        <f>IF((COUNTIFS(data_tab[Revenue],data_tab[[#This Row],[Revenue]],data_tab[Cost],data_tab[[#This Row],[Cost]]))&gt;1,"Duplicate","Unique")</f>
        <v>Unique</v>
      </c>
      <c r="M912">
        <f>data_tab[[#This Row],[Revenue]]-data_tab[[#This Row],[Cost]]</f>
        <v>39990.416226930502</v>
      </c>
      <c r="N912" t="str">
        <f>IF(data_tab[[#This Row],[Revenue]]&lt;0,"Return","Sale")</f>
        <v>Sale</v>
      </c>
    </row>
    <row r="913" spans="1:14" hidden="1">
      <c r="A913" s="1">
        <v>46090</v>
      </c>
      <c r="B913">
        <f>MONTH(data_tab[[#This Row],[Order Date]])</f>
        <v>3</v>
      </c>
      <c r="C913">
        <f>YEAR(data_tab[[#This Row],[Order Date]])</f>
        <v>2026</v>
      </c>
      <c r="D913" t="s">
        <v>29</v>
      </c>
      <c r="E913" t="s">
        <v>15</v>
      </c>
      <c r="F913" t="s">
        <v>16</v>
      </c>
      <c r="G913" t="s">
        <v>17</v>
      </c>
      <c r="H913">
        <v>7</v>
      </c>
      <c r="J913">
        <v>41909.545225396301</v>
      </c>
      <c r="K913" t="str">
        <f>IF(AND(data_tab[[#This Row],[Revenue]]="",data_tab[[#This Row],[Cost]]=""),"Remove",IF(OR(data_tab[[#This Row],[Revenue]]="",data_tab[[#This Row],[Cost]]=""),"Flag","Valid"))</f>
        <v>Flag</v>
      </c>
      <c r="L913" t="str">
        <f>IF((COUNTIFS(data_tab[Revenue],data_tab[[#This Row],[Revenue]],data_tab[Cost],data_tab[[#This Row],[Cost]]))&gt;1,"Duplicate","Unique")</f>
        <v>Unique</v>
      </c>
      <c r="M913">
        <f>data_tab[[#This Row],[Revenue]]-data_tab[[#This Row],[Cost]]</f>
        <v>-41909.545225396301</v>
      </c>
      <c r="N913" t="str">
        <f>IF(data_tab[[#This Row],[Revenue]]&lt;0,"Return","Sale")</f>
        <v>Sale</v>
      </c>
    </row>
    <row r="914" spans="1:14" hidden="1">
      <c r="A914" s="1">
        <v>46042</v>
      </c>
      <c r="B914">
        <f>MONTH(data_tab[[#This Row],[Order Date]])</f>
        <v>1</v>
      </c>
      <c r="C914">
        <f>YEAR(data_tab[[#This Row],[Order Date]])</f>
        <v>2026</v>
      </c>
      <c r="D914" t="s">
        <v>35</v>
      </c>
      <c r="E914" t="s">
        <v>32</v>
      </c>
      <c r="F914" t="s">
        <v>36</v>
      </c>
      <c r="G914" t="s">
        <v>17</v>
      </c>
      <c r="H914">
        <v>3</v>
      </c>
      <c r="I914">
        <v>64737</v>
      </c>
      <c r="J914">
        <v>32631.080823662302</v>
      </c>
      <c r="K914" t="str">
        <f>IF(AND(data_tab[[#This Row],[Revenue]]="",data_tab[[#This Row],[Cost]]=""),"Remove",IF(OR(data_tab[[#This Row],[Revenue]]="",data_tab[[#This Row],[Cost]]=""),"Flag","Valid"))</f>
        <v>Valid</v>
      </c>
      <c r="L914" t="str">
        <f>IF((COUNTIFS(data_tab[Revenue],data_tab[[#This Row],[Revenue]],data_tab[Cost],data_tab[[#This Row],[Cost]]))&gt;1,"Duplicate","Unique")</f>
        <v>Unique</v>
      </c>
      <c r="M914">
        <f>data_tab[[#This Row],[Revenue]]-data_tab[[#This Row],[Cost]]</f>
        <v>32105.919176337698</v>
      </c>
      <c r="N914" t="str">
        <f>IF(data_tab[[#This Row],[Revenue]]&lt;0,"Return","Sale")</f>
        <v>Sale</v>
      </c>
    </row>
    <row r="915" spans="1:14" hidden="1">
      <c r="A915" s="1">
        <v>46266</v>
      </c>
      <c r="B915">
        <f>MONTH(data_tab[[#This Row],[Order Date]])</f>
        <v>9</v>
      </c>
      <c r="C915">
        <f>YEAR(data_tab[[#This Row],[Order Date]])</f>
        <v>2026</v>
      </c>
      <c r="D915" t="s">
        <v>35</v>
      </c>
      <c r="E915" t="s">
        <v>32</v>
      </c>
      <c r="F915" t="s">
        <v>16</v>
      </c>
      <c r="G915" t="s">
        <v>33</v>
      </c>
      <c r="H915">
        <v>10</v>
      </c>
      <c r="I915">
        <v>413210</v>
      </c>
      <c r="J915">
        <v>296929.85843310301</v>
      </c>
      <c r="K915" t="str">
        <f>IF(AND(data_tab[[#This Row],[Revenue]]="",data_tab[[#This Row],[Cost]]=""),"Remove",IF(OR(data_tab[[#This Row],[Revenue]]="",data_tab[[#This Row],[Cost]]=""),"Flag","Valid"))</f>
        <v>Valid</v>
      </c>
      <c r="L915" t="str">
        <f>IF((COUNTIFS(data_tab[Revenue],data_tab[[#This Row],[Revenue]],data_tab[Cost],data_tab[[#This Row],[Cost]]))&gt;1,"Duplicate","Unique")</f>
        <v>Unique</v>
      </c>
      <c r="M915">
        <f>data_tab[[#This Row],[Revenue]]-data_tab[[#This Row],[Cost]]</f>
        <v>116280.14156689699</v>
      </c>
      <c r="N915" t="str">
        <f>IF(data_tab[[#This Row],[Revenue]]&lt;0,"Return","Sale")</f>
        <v>Sale</v>
      </c>
    </row>
    <row r="916" spans="1:14" hidden="1">
      <c r="A916" s="1">
        <v>46072</v>
      </c>
      <c r="B916">
        <f>MONTH(data_tab[[#This Row],[Order Date]])</f>
        <v>2</v>
      </c>
      <c r="C916">
        <f>YEAR(data_tab[[#This Row],[Order Date]])</f>
        <v>2026</v>
      </c>
      <c r="D916" t="s">
        <v>40</v>
      </c>
      <c r="E916" t="s">
        <v>15</v>
      </c>
      <c r="F916" t="s">
        <v>21</v>
      </c>
      <c r="G916" t="s">
        <v>17</v>
      </c>
      <c r="H916">
        <v>6</v>
      </c>
      <c r="J916">
        <v>49100.894703445498</v>
      </c>
      <c r="K916" t="str">
        <f>IF(AND(data_tab[[#This Row],[Revenue]]="",data_tab[[#This Row],[Cost]]=""),"Remove",IF(OR(data_tab[[#This Row],[Revenue]]="",data_tab[[#This Row],[Cost]]=""),"Flag","Valid"))</f>
        <v>Flag</v>
      </c>
      <c r="L916" t="str">
        <f>IF((COUNTIFS(data_tab[Revenue],data_tab[[#This Row],[Revenue]],data_tab[Cost],data_tab[[#This Row],[Cost]]))&gt;1,"Duplicate","Unique")</f>
        <v>Unique</v>
      </c>
      <c r="M916">
        <f>data_tab[[#This Row],[Revenue]]-data_tab[[#This Row],[Cost]]</f>
        <v>-49100.894703445498</v>
      </c>
      <c r="N916" t="str">
        <f>IF(data_tab[[#This Row],[Revenue]]&lt;0,"Return","Sale")</f>
        <v>Sale</v>
      </c>
    </row>
    <row r="917" spans="1:14" hidden="1">
      <c r="A917" s="1">
        <v>46200</v>
      </c>
      <c r="B917">
        <f>MONTH(data_tab[[#This Row],[Order Date]])</f>
        <v>6</v>
      </c>
      <c r="C917">
        <f>YEAR(data_tab[[#This Row],[Order Date]])</f>
        <v>2026</v>
      </c>
      <c r="D917" t="s">
        <v>29</v>
      </c>
      <c r="E917" t="s">
        <v>15</v>
      </c>
      <c r="F917" t="s">
        <v>21</v>
      </c>
      <c r="G917" t="s">
        <v>39</v>
      </c>
      <c r="H917">
        <v>6</v>
      </c>
      <c r="I917">
        <v>290424</v>
      </c>
      <c r="J917">
        <v>209279.199145169</v>
      </c>
      <c r="K917" t="str">
        <f>IF(AND(data_tab[[#This Row],[Revenue]]="",data_tab[[#This Row],[Cost]]=""),"Remove",IF(OR(data_tab[[#This Row],[Revenue]]="",data_tab[[#This Row],[Cost]]=""),"Flag","Valid"))</f>
        <v>Valid</v>
      </c>
      <c r="L917" t="str">
        <f>IF((COUNTIFS(data_tab[Revenue],data_tab[[#This Row],[Revenue]],data_tab[Cost],data_tab[[#This Row],[Cost]]))&gt;1,"Duplicate","Unique")</f>
        <v>Unique</v>
      </c>
      <c r="M917">
        <f>data_tab[[#This Row],[Revenue]]-data_tab[[#This Row],[Cost]]</f>
        <v>81144.800854831003</v>
      </c>
      <c r="N917" t="str">
        <f>IF(data_tab[[#This Row],[Revenue]]&lt;0,"Return","Sale")</f>
        <v>Sale</v>
      </c>
    </row>
    <row r="918" spans="1:14">
      <c r="A918" s="1">
        <v>46154</v>
      </c>
      <c r="B918">
        <f>MONTH(data_tab[[#This Row],[Order Date]])</f>
        <v>5</v>
      </c>
      <c r="C918">
        <f>YEAR(data_tab[[#This Row],[Order Date]])</f>
        <v>2026</v>
      </c>
      <c r="D918" t="s">
        <v>35</v>
      </c>
      <c r="E918" t="s">
        <v>32</v>
      </c>
      <c r="F918" t="s">
        <v>21</v>
      </c>
      <c r="G918" t="s">
        <v>17</v>
      </c>
      <c r="H918">
        <v>5</v>
      </c>
      <c r="I918">
        <v>138720</v>
      </c>
      <c r="J918">
        <v>75069.415626059999</v>
      </c>
      <c r="K918" t="str">
        <f>IF(AND(data_tab[[#This Row],[Revenue]]="",data_tab[[#This Row],[Cost]]=""),"Remove",IF(OR(data_tab[[#This Row],[Revenue]]="",data_tab[[#This Row],[Cost]]=""),"Flag","Valid"))</f>
        <v>Valid</v>
      </c>
      <c r="L918" t="str">
        <f>IF((COUNTIFS(data_tab[Revenue],data_tab[[#This Row],[Revenue]],data_tab[Cost],data_tab[[#This Row],[Cost]]))&gt;1,"Duplicate","Unique")</f>
        <v>Unique</v>
      </c>
      <c r="M918">
        <f>data_tab[[#This Row],[Revenue]]-data_tab[[#This Row],[Cost]]</f>
        <v>63650.584373940001</v>
      </c>
      <c r="N918" t="str">
        <f>IF(data_tab[[#This Row],[Revenue]]&lt;0,"Return","Sale")</f>
        <v>Sale</v>
      </c>
    </row>
    <row r="919" spans="1:14" hidden="1">
      <c r="A919" s="1">
        <v>46075</v>
      </c>
      <c r="B919">
        <f>MONTH(data_tab[[#This Row],[Order Date]])</f>
        <v>2</v>
      </c>
      <c r="C919">
        <f>YEAR(data_tab[[#This Row],[Order Date]])</f>
        <v>2026</v>
      </c>
      <c r="D919" t="s">
        <v>29</v>
      </c>
      <c r="E919" t="s">
        <v>15</v>
      </c>
      <c r="F919" t="s">
        <v>36</v>
      </c>
      <c r="G919" t="s">
        <v>26</v>
      </c>
      <c r="H919">
        <v>5</v>
      </c>
      <c r="I919">
        <v>114445</v>
      </c>
      <c r="J919">
        <v>85738.118032633007</v>
      </c>
      <c r="K919" t="str">
        <f>IF(AND(data_tab[[#This Row],[Revenue]]="",data_tab[[#This Row],[Cost]]=""),"Remove",IF(OR(data_tab[[#This Row],[Revenue]]="",data_tab[[#This Row],[Cost]]=""),"Flag","Valid"))</f>
        <v>Valid</v>
      </c>
      <c r="L919" t="str">
        <f>IF((COUNTIFS(data_tab[Revenue],data_tab[[#This Row],[Revenue]],data_tab[Cost],data_tab[[#This Row],[Cost]]))&gt;1,"Duplicate","Unique")</f>
        <v>Unique</v>
      </c>
      <c r="M919">
        <f>data_tab[[#This Row],[Revenue]]-data_tab[[#This Row],[Cost]]</f>
        <v>28706.881967366993</v>
      </c>
      <c r="N919" t="str">
        <f>IF(data_tab[[#This Row],[Revenue]]&lt;0,"Return","Sale")</f>
        <v>Sale</v>
      </c>
    </row>
    <row r="920" spans="1:14" hidden="1">
      <c r="A920" s="1">
        <v>46118</v>
      </c>
      <c r="B920">
        <f>MONTH(data_tab[[#This Row],[Order Date]])</f>
        <v>4</v>
      </c>
      <c r="C920">
        <f>YEAR(data_tab[[#This Row],[Order Date]])</f>
        <v>2026</v>
      </c>
      <c r="D920" t="s">
        <v>29</v>
      </c>
      <c r="E920" t="s">
        <v>15</v>
      </c>
      <c r="F920" t="s">
        <v>21</v>
      </c>
      <c r="G920" t="s">
        <v>39</v>
      </c>
      <c r="H920">
        <v>9</v>
      </c>
      <c r="I920">
        <v>167256</v>
      </c>
      <c r="J920">
        <v>122890.96083354601</v>
      </c>
      <c r="K920" t="str">
        <f>IF(AND(data_tab[[#This Row],[Revenue]]="",data_tab[[#This Row],[Cost]]=""),"Remove",IF(OR(data_tab[[#This Row],[Revenue]]="",data_tab[[#This Row],[Cost]]=""),"Flag","Valid"))</f>
        <v>Valid</v>
      </c>
      <c r="L920" t="str">
        <f>IF((COUNTIFS(data_tab[Revenue],data_tab[[#This Row],[Revenue]],data_tab[Cost],data_tab[[#This Row],[Cost]]))&gt;1,"Duplicate","Unique")</f>
        <v>Unique</v>
      </c>
      <c r="M920">
        <f>data_tab[[#This Row],[Revenue]]-data_tab[[#This Row],[Cost]]</f>
        <v>44365.039166453993</v>
      </c>
      <c r="N920" t="str">
        <f>IF(data_tab[[#This Row],[Revenue]]&lt;0,"Return","Sale")</f>
        <v>Sale</v>
      </c>
    </row>
    <row r="921" spans="1:14">
      <c r="A921" s="1">
        <v>46158</v>
      </c>
      <c r="B921">
        <f>MONTH(data_tab[[#This Row],[Order Date]])</f>
        <v>5</v>
      </c>
      <c r="C921">
        <f>YEAR(data_tab[[#This Row],[Order Date]])</f>
        <v>2026</v>
      </c>
      <c r="D921" t="s">
        <v>31</v>
      </c>
      <c r="E921" t="s">
        <v>32</v>
      </c>
      <c r="F921" t="s">
        <v>16</v>
      </c>
      <c r="G921" t="s">
        <v>33</v>
      </c>
      <c r="H921">
        <v>3</v>
      </c>
      <c r="I921">
        <v>76335</v>
      </c>
      <c r="J921">
        <v>45658.044242516102</v>
      </c>
      <c r="K921" t="str">
        <f>IF(AND(data_tab[[#This Row],[Revenue]]="",data_tab[[#This Row],[Cost]]=""),"Remove",IF(OR(data_tab[[#This Row],[Revenue]]="",data_tab[[#This Row],[Cost]]=""),"Flag","Valid"))</f>
        <v>Valid</v>
      </c>
      <c r="L921" t="str">
        <f>IF((COUNTIFS(data_tab[Revenue],data_tab[[#This Row],[Revenue]],data_tab[Cost],data_tab[[#This Row],[Cost]]))&gt;1,"Duplicate","Unique")</f>
        <v>Unique</v>
      </c>
      <c r="M921">
        <f>data_tab[[#This Row],[Revenue]]-data_tab[[#This Row],[Cost]]</f>
        <v>30676.955757483898</v>
      </c>
      <c r="N921" t="str">
        <f>IF(data_tab[[#This Row],[Revenue]]&lt;0,"Return","Sale")</f>
        <v>Sale</v>
      </c>
    </row>
    <row r="922" spans="1:14" hidden="1">
      <c r="A922" s="1">
        <v>46103</v>
      </c>
      <c r="B922">
        <f>MONTH(data_tab[[#This Row],[Order Date]])</f>
        <v>3</v>
      </c>
      <c r="C922">
        <f>YEAR(data_tab[[#This Row],[Order Date]])</f>
        <v>2026</v>
      </c>
      <c r="D922" t="s">
        <v>35</v>
      </c>
      <c r="E922" t="s">
        <v>32</v>
      </c>
      <c r="F922" t="s">
        <v>24</v>
      </c>
      <c r="G922" t="s">
        <v>41</v>
      </c>
      <c r="H922">
        <v>6</v>
      </c>
      <c r="I922">
        <v>96054</v>
      </c>
      <c r="J922">
        <v>65907.514619736903</v>
      </c>
      <c r="K922" t="str">
        <f>IF(AND(data_tab[[#This Row],[Revenue]]="",data_tab[[#This Row],[Cost]]=""),"Remove",IF(OR(data_tab[[#This Row],[Revenue]]="",data_tab[[#This Row],[Cost]]=""),"Flag","Valid"))</f>
        <v>Valid</v>
      </c>
      <c r="L922" t="str">
        <f>IF((COUNTIFS(data_tab[Revenue],data_tab[[#This Row],[Revenue]],data_tab[Cost],data_tab[[#This Row],[Cost]]))&gt;1,"Duplicate","Unique")</f>
        <v>Unique</v>
      </c>
      <c r="M922">
        <f>data_tab[[#This Row],[Revenue]]-data_tab[[#This Row],[Cost]]</f>
        <v>30146.485380263097</v>
      </c>
      <c r="N922" t="str">
        <f>IF(data_tab[[#This Row],[Revenue]]&lt;0,"Return","Sale")</f>
        <v>Sale</v>
      </c>
    </row>
    <row r="923" spans="1:14" hidden="1">
      <c r="A923" s="1">
        <v>46121</v>
      </c>
      <c r="B923">
        <f>MONTH(data_tab[[#This Row],[Order Date]])</f>
        <v>4</v>
      </c>
      <c r="C923">
        <f>YEAR(data_tab[[#This Row],[Order Date]])</f>
        <v>2026</v>
      </c>
      <c r="D923" t="s">
        <v>31</v>
      </c>
      <c r="E923" t="s">
        <v>32</v>
      </c>
      <c r="F923" t="s">
        <v>24</v>
      </c>
      <c r="G923" t="s">
        <v>26</v>
      </c>
      <c r="H923">
        <v>5</v>
      </c>
      <c r="I923">
        <v>244705</v>
      </c>
      <c r="J923">
        <v>181855.39595536</v>
      </c>
      <c r="K923" t="str">
        <f>IF(AND(data_tab[[#This Row],[Revenue]]="",data_tab[[#This Row],[Cost]]=""),"Remove",IF(OR(data_tab[[#This Row],[Revenue]]="",data_tab[[#This Row],[Cost]]=""),"Flag","Valid"))</f>
        <v>Valid</v>
      </c>
      <c r="L923" t="str">
        <f>IF((COUNTIFS(data_tab[Revenue],data_tab[[#This Row],[Revenue]],data_tab[Cost],data_tab[[#This Row],[Cost]]))&gt;1,"Duplicate","Unique")</f>
        <v>Unique</v>
      </c>
      <c r="M923">
        <f>data_tab[[#This Row],[Revenue]]-data_tab[[#This Row],[Cost]]</f>
        <v>62849.60404464</v>
      </c>
      <c r="N923" t="str">
        <f>IF(data_tab[[#This Row],[Revenue]]&lt;0,"Return","Sale")</f>
        <v>Sale</v>
      </c>
    </row>
    <row r="924" spans="1:14" hidden="1">
      <c r="A924" s="1">
        <v>46188</v>
      </c>
      <c r="B924">
        <f>MONTH(data_tab[[#This Row],[Order Date]])</f>
        <v>6</v>
      </c>
      <c r="C924">
        <f>YEAR(data_tab[[#This Row],[Order Date]])</f>
        <v>2026</v>
      </c>
      <c r="D924" t="s">
        <v>35</v>
      </c>
      <c r="E924" t="s">
        <v>32</v>
      </c>
      <c r="F924" t="s">
        <v>16</v>
      </c>
      <c r="G924" t="s">
        <v>17</v>
      </c>
      <c r="H924">
        <v>4</v>
      </c>
      <c r="I924">
        <v>21016</v>
      </c>
      <c r="J924">
        <v>17256.0290549889</v>
      </c>
      <c r="K924" t="str">
        <f>IF(AND(data_tab[[#This Row],[Revenue]]="",data_tab[[#This Row],[Cost]]=""),"Remove",IF(OR(data_tab[[#This Row],[Revenue]]="",data_tab[[#This Row],[Cost]]=""),"Flag","Valid"))</f>
        <v>Valid</v>
      </c>
      <c r="L924" t="str">
        <f>IF((COUNTIFS(data_tab[Revenue],data_tab[[#This Row],[Revenue]],data_tab[Cost],data_tab[[#This Row],[Cost]]))&gt;1,"Duplicate","Unique")</f>
        <v>Unique</v>
      </c>
      <c r="M924">
        <f>data_tab[[#This Row],[Revenue]]-data_tab[[#This Row],[Cost]]</f>
        <v>3759.9709450111004</v>
      </c>
      <c r="N924" t="str">
        <f>IF(data_tab[[#This Row],[Revenue]]&lt;0,"Return","Sale")</f>
        <v>Sale</v>
      </c>
    </row>
    <row r="925" spans="1:14" hidden="1">
      <c r="A925" s="1">
        <v>46054</v>
      </c>
      <c r="B925">
        <f>MONTH(data_tab[[#This Row],[Order Date]])</f>
        <v>2</v>
      </c>
      <c r="C925">
        <f>YEAR(data_tab[[#This Row],[Order Date]])</f>
        <v>2026</v>
      </c>
      <c r="D925" t="s">
        <v>40</v>
      </c>
      <c r="E925" t="s">
        <v>15</v>
      </c>
      <c r="F925" t="s">
        <v>36</v>
      </c>
      <c r="G925" t="s">
        <v>17</v>
      </c>
      <c r="H925">
        <v>10</v>
      </c>
      <c r="I925">
        <v>33930</v>
      </c>
      <c r="J925">
        <v>20833.520999298002</v>
      </c>
      <c r="K925" t="str">
        <f>IF(AND(data_tab[[#This Row],[Revenue]]="",data_tab[[#This Row],[Cost]]=""),"Remove",IF(OR(data_tab[[#This Row],[Revenue]]="",data_tab[[#This Row],[Cost]]=""),"Flag","Valid"))</f>
        <v>Valid</v>
      </c>
      <c r="L925" t="str">
        <f>IF((COUNTIFS(data_tab[Revenue],data_tab[[#This Row],[Revenue]],data_tab[Cost],data_tab[[#This Row],[Cost]]))&gt;1,"Duplicate","Unique")</f>
        <v>Unique</v>
      </c>
      <c r="M925">
        <f>data_tab[[#This Row],[Revenue]]-data_tab[[#This Row],[Cost]]</f>
        <v>13096.479000701998</v>
      </c>
      <c r="N925" t="str">
        <f>IF(data_tab[[#This Row],[Revenue]]&lt;0,"Return","Sale")</f>
        <v>Sale</v>
      </c>
    </row>
    <row r="926" spans="1:14" hidden="1">
      <c r="A926" s="1">
        <v>46141</v>
      </c>
      <c r="B926">
        <f>MONTH(data_tab[[#This Row],[Order Date]])</f>
        <v>4</v>
      </c>
      <c r="C926">
        <f>YEAR(data_tab[[#This Row],[Order Date]])</f>
        <v>2026</v>
      </c>
      <c r="D926" t="s">
        <v>29</v>
      </c>
      <c r="E926" t="s">
        <v>15</v>
      </c>
      <c r="F926" t="s">
        <v>24</v>
      </c>
      <c r="G926" t="s">
        <v>26</v>
      </c>
      <c r="H926">
        <v>9</v>
      </c>
      <c r="J926">
        <v>26075.735897320501</v>
      </c>
      <c r="K926" t="str">
        <f>IF(AND(data_tab[[#This Row],[Revenue]]="",data_tab[[#This Row],[Cost]]=""),"Remove",IF(OR(data_tab[[#This Row],[Revenue]]="",data_tab[[#This Row],[Cost]]=""),"Flag","Valid"))</f>
        <v>Flag</v>
      </c>
      <c r="L926" t="str">
        <f>IF((COUNTIFS(data_tab[Revenue],data_tab[[#This Row],[Revenue]],data_tab[Cost],data_tab[[#This Row],[Cost]]))&gt;1,"Duplicate","Unique")</f>
        <v>Unique</v>
      </c>
      <c r="M926">
        <f>data_tab[[#This Row],[Revenue]]-data_tab[[#This Row],[Cost]]</f>
        <v>-26075.735897320501</v>
      </c>
      <c r="N926" t="str">
        <f>IF(data_tab[[#This Row],[Revenue]]&lt;0,"Return","Sale")</f>
        <v>Sale</v>
      </c>
    </row>
    <row r="927" spans="1:14" hidden="1">
      <c r="A927" s="1">
        <v>46129</v>
      </c>
      <c r="B927">
        <f>MONTH(data_tab[[#This Row],[Order Date]])</f>
        <v>4</v>
      </c>
      <c r="C927">
        <f>YEAR(data_tab[[#This Row],[Order Date]])</f>
        <v>2026</v>
      </c>
      <c r="D927" t="s">
        <v>23</v>
      </c>
      <c r="E927" t="s">
        <v>15</v>
      </c>
      <c r="F927" t="s">
        <v>16</v>
      </c>
      <c r="G927" t="s">
        <v>33</v>
      </c>
      <c r="H927">
        <v>2</v>
      </c>
      <c r="I927">
        <v>76934</v>
      </c>
      <c r="K927" t="str">
        <f>IF(AND(data_tab[[#This Row],[Revenue]]="",data_tab[[#This Row],[Cost]]=""),"Remove",IF(OR(data_tab[[#This Row],[Revenue]]="",data_tab[[#This Row],[Cost]]=""),"Flag","Valid"))</f>
        <v>Flag</v>
      </c>
      <c r="L927" t="str">
        <f>IF((COUNTIFS(data_tab[Revenue],data_tab[[#This Row],[Revenue]],data_tab[Cost],data_tab[[#This Row],[Cost]]))&gt;1,"Duplicate","Unique")</f>
        <v>Unique</v>
      </c>
      <c r="M927">
        <f>data_tab[[#This Row],[Revenue]]-data_tab[[#This Row],[Cost]]</f>
        <v>76934</v>
      </c>
      <c r="N927" t="str">
        <f>IF(data_tab[[#This Row],[Revenue]]&lt;0,"Return","Sale")</f>
        <v>Sale</v>
      </c>
    </row>
    <row r="928" spans="1:14" hidden="1">
      <c r="A928" s="1">
        <v>46139</v>
      </c>
      <c r="B928">
        <f>MONTH(data_tab[[#This Row],[Order Date]])</f>
        <v>4</v>
      </c>
      <c r="C928">
        <f>YEAR(data_tab[[#This Row],[Order Date]])</f>
        <v>2026</v>
      </c>
      <c r="D928" t="s">
        <v>20</v>
      </c>
      <c r="E928" t="s">
        <v>15</v>
      </c>
      <c r="F928" t="s">
        <v>16</v>
      </c>
      <c r="G928" t="s">
        <v>26</v>
      </c>
      <c r="H928">
        <v>2</v>
      </c>
      <c r="I928">
        <v>7838</v>
      </c>
      <c r="J928">
        <v>4621.3298123446802</v>
      </c>
      <c r="K928" t="str">
        <f>IF(AND(data_tab[[#This Row],[Revenue]]="",data_tab[[#This Row],[Cost]]=""),"Remove",IF(OR(data_tab[[#This Row],[Revenue]]="",data_tab[[#This Row],[Cost]]=""),"Flag","Valid"))</f>
        <v>Valid</v>
      </c>
      <c r="L928" t="str">
        <f>IF((COUNTIFS(data_tab[Revenue],data_tab[[#This Row],[Revenue]],data_tab[Cost],data_tab[[#This Row],[Cost]]))&gt;1,"Duplicate","Unique")</f>
        <v>Unique</v>
      </c>
      <c r="M928">
        <f>data_tab[[#This Row],[Revenue]]-data_tab[[#This Row],[Cost]]</f>
        <v>3216.6701876553198</v>
      </c>
      <c r="N928" t="str">
        <f>IF(data_tab[[#This Row],[Revenue]]&lt;0,"Return","Sale")</f>
        <v>Sale</v>
      </c>
    </row>
    <row r="929" spans="1:14" hidden="1">
      <c r="A929" s="1">
        <v>46199</v>
      </c>
      <c r="B929">
        <f>MONTH(data_tab[[#This Row],[Order Date]])</f>
        <v>6</v>
      </c>
      <c r="C929">
        <f>YEAR(data_tab[[#This Row],[Order Date]])</f>
        <v>2026</v>
      </c>
      <c r="D929" t="s">
        <v>20</v>
      </c>
      <c r="E929" t="s">
        <v>15</v>
      </c>
      <c r="F929" t="s">
        <v>21</v>
      </c>
      <c r="G929" t="s">
        <v>41</v>
      </c>
      <c r="H929">
        <v>6</v>
      </c>
      <c r="I929">
        <v>223374</v>
      </c>
      <c r="J929">
        <v>200104.23958457599</v>
      </c>
      <c r="K929" t="str">
        <f>IF(AND(data_tab[[#This Row],[Revenue]]="",data_tab[[#This Row],[Cost]]=""),"Remove",IF(OR(data_tab[[#This Row],[Revenue]]="",data_tab[[#This Row],[Cost]]=""),"Flag","Valid"))</f>
        <v>Valid</v>
      </c>
      <c r="L929" t="str">
        <f>IF((COUNTIFS(data_tab[Revenue],data_tab[[#This Row],[Revenue]],data_tab[Cost],data_tab[[#This Row],[Cost]]))&gt;1,"Duplicate","Unique")</f>
        <v>Unique</v>
      </c>
      <c r="M929">
        <f>data_tab[[#This Row],[Revenue]]-data_tab[[#This Row],[Cost]]</f>
        <v>23269.760415424011</v>
      </c>
      <c r="N929" t="str">
        <f>IF(data_tab[[#This Row],[Revenue]]&lt;0,"Return","Sale")</f>
        <v>Sale</v>
      </c>
    </row>
    <row r="930" spans="1:14" hidden="1">
      <c r="A930" s="1">
        <v>46357</v>
      </c>
      <c r="B930">
        <f>MONTH(data_tab[[#This Row],[Order Date]])</f>
        <v>12</v>
      </c>
      <c r="C930">
        <f>YEAR(data_tab[[#This Row],[Order Date]])</f>
        <v>2026</v>
      </c>
      <c r="D930" t="s">
        <v>35</v>
      </c>
      <c r="E930" t="s">
        <v>32</v>
      </c>
      <c r="F930" t="s">
        <v>24</v>
      </c>
      <c r="G930" t="s">
        <v>37</v>
      </c>
      <c r="H930">
        <v>6</v>
      </c>
      <c r="I930">
        <v>282498</v>
      </c>
      <c r="J930">
        <v>210489.33132833001</v>
      </c>
      <c r="K930" t="str">
        <f>IF(AND(data_tab[[#This Row],[Revenue]]="",data_tab[[#This Row],[Cost]]=""),"Remove",IF(OR(data_tab[[#This Row],[Revenue]]="",data_tab[[#This Row],[Cost]]=""),"Flag","Valid"))</f>
        <v>Valid</v>
      </c>
      <c r="L930" t="str">
        <f>IF((COUNTIFS(data_tab[Revenue],data_tab[[#This Row],[Revenue]],data_tab[Cost],data_tab[[#This Row],[Cost]]))&gt;1,"Duplicate","Unique")</f>
        <v>Unique</v>
      </c>
      <c r="M930">
        <f>data_tab[[#This Row],[Revenue]]-data_tab[[#This Row],[Cost]]</f>
        <v>72008.668671669991</v>
      </c>
      <c r="N930" t="str">
        <f>IF(data_tab[[#This Row],[Revenue]]&lt;0,"Return","Sale")</f>
        <v>Sale</v>
      </c>
    </row>
    <row r="931" spans="1:14" hidden="1">
      <c r="A931" s="1">
        <v>46058</v>
      </c>
      <c r="B931">
        <f>MONTH(data_tab[[#This Row],[Order Date]])</f>
        <v>2</v>
      </c>
      <c r="C931">
        <f>YEAR(data_tab[[#This Row],[Order Date]])</f>
        <v>2026</v>
      </c>
      <c r="D931" t="s">
        <v>35</v>
      </c>
      <c r="E931" t="s">
        <v>32</v>
      </c>
      <c r="F931" t="s">
        <v>21</v>
      </c>
      <c r="G931" t="s">
        <v>26</v>
      </c>
      <c r="H931">
        <v>7</v>
      </c>
      <c r="I931">
        <v>306180</v>
      </c>
      <c r="J931">
        <v>207808.00836199601</v>
      </c>
      <c r="K931" t="str">
        <f>IF(AND(data_tab[[#This Row],[Revenue]]="",data_tab[[#This Row],[Cost]]=""),"Remove",IF(OR(data_tab[[#This Row],[Revenue]]="",data_tab[[#This Row],[Cost]]=""),"Flag","Valid"))</f>
        <v>Valid</v>
      </c>
      <c r="L931" t="str">
        <f>IF((COUNTIFS(data_tab[Revenue],data_tab[[#This Row],[Revenue]],data_tab[Cost],data_tab[[#This Row],[Cost]]))&gt;1,"Duplicate","Unique")</f>
        <v>Unique</v>
      </c>
      <c r="M931">
        <f>data_tab[[#This Row],[Revenue]]-data_tab[[#This Row],[Cost]]</f>
        <v>98371.991638003994</v>
      </c>
      <c r="N931" t="str">
        <f>IF(data_tab[[#This Row],[Revenue]]&lt;0,"Return","Sale")</f>
        <v>Sale</v>
      </c>
    </row>
    <row r="932" spans="1:14" hidden="1">
      <c r="A932" s="1">
        <v>46192</v>
      </c>
      <c r="B932">
        <f>MONTH(data_tab[[#This Row],[Order Date]])</f>
        <v>6</v>
      </c>
      <c r="C932">
        <f>YEAR(data_tab[[#This Row],[Order Date]])</f>
        <v>2026</v>
      </c>
      <c r="D932" t="s">
        <v>23</v>
      </c>
      <c r="E932" t="s">
        <v>15</v>
      </c>
      <c r="F932" t="s">
        <v>36</v>
      </c>
      <c r="G932" t="s">
        <v>17</v>
      </c>
      <c r="H932">
        <v>2</v>
      </c>
      <c r="I932">
        <v>38578</v>
      </c>
      <c r="J932">
        <v>31112.4160341922</v>
      </c>
      <c r="K932" t="str">
        <f>IF(AND(data_tab[[#This Row],[Revenue]]="",data_tab[[#This Row],[Cost]]=""),"Remove",IF(OR(data_tab[[#This Row],[Revenue]]="",data_tab[[#This Row],[Cost]]=""),"Flag","Valid"))</f>
        <v>Valid</v>
      </c>
      <c r="L932" t="str">
        <f>IF((COUNTIFS(data_tab[Revenue],data_tab[[#This Row],[Revenue]],data_tab[Cost],data_tab[[#This Row],[Cost]]))&gt;1,"Duplicate","Unique")</f>
        <v>Unique</v>
      </c>
      <c r="M932">
        <f>data_tab[[#This Row],[Revenue]]-data_tab[[#This Row],[Cost]]</f>
        <v>7465.5839658078003</v>
      </c>
      <c r="N932" t="str">
        <f>IF(data_tab[[#This Row],[Revenue]]&lt;0,"Return","Sale")</f>
        <v>Sale</v>
      </c>
    </row>
    <row r="933" spans="1:14" hidden="1">
      <c r="A933" s="1">
        <v>46085</v>
      </c>
      <c r="B933">
        <f>MONTH(data_tab[[#This Row],[Order Date]])</f>
        <v>3</v>
      </c>
      <c r="C933">
        <f>YEAR(data_tab[[#This Row],[Order Date]])</f>
        <v>2026</v>
      </c>
      <c r="D933" t="s">
        <v>31</v>
      </c>
      <c r="E933" t="s">
        <v>32</v>
      </c>
      <c r="F933" t="s">
        <v>24</v>
      </c>
      <c r="G933" t="s">
        <v>39</v>
      </c>
      <c r="H933">
        <v>8</v>
      </c>
      <c r="I933">
        <v>47592</v>
      </c>
      <c r="J933">
        <v>27840.8530519747</v>
      </c>
      <c r="K933" t="str">
        <f>IF(AND(data_tab[[#This Row],[Revenue]]="",data_tab[[#This Row],[Cost]]=""),"Remove",IF(OR(data_tab[[#This Row],[Revenue]]="",data_tab[[#This Row],[Cost]]=""),"Flag","Valid"))</f>
        <v>Valid</v>
      </c>
      <c r="L933" t="str">
        <f>IF((COUNTIFS(data_tab[Revenue],data_tab[[#This Row],[Revenue]],data_tab[Cost],data_tab[[#This Row],[Cost]]))&gt;1,"Duplicate","Unique")</f>
        <v>Unique</v>
      </c>
      <c r="M933">
        <f>data_tab[[#This Row],[Revenue]]-data_tab[[#This Row],[Cost]]</f>
        <v>19751.1469480253</v>
      </c>
      <c r="N933" t="str">
        <f>IF(data_tab[[#This Row],[Revenue]]&lt;0,"Return","Sale")</f>
        <v>Sale</v>
      </c>
    </row>
    <row r="934" spans="1:14">
      <c r="A934" s="1">
        <v>46147</v>
      </c>
      <c r="B934">
        <f>MONTH(data_tab[[#This Row],[Order Date]])</f>
        <v>5</v>
      </c>
      <c r="C934">
        <f>YEAR(data_tab[[#This Row],[Order Date]])</f>
        <v>2026</v>
      </c>
      <c r="D934" t="s">
        <v>31</v>
      </c>
      <c r="E934" t="s">
        <v>32</v>
      </c>
      <c r="F934" t="s">
        <v>16</v>
      </c>
      <c r="G934" t="s">
        <v>37</v>
      </c>
      <c r="H934">
        <v>8</v>
      </c>
      <c r="I934">
        <v>359560</v>
      </c>
      <c r="J934">
        <v>201928.74141048599</v>
      </c>
      <c r="K934" t="str">
        <f>IF(AND(data_tab[[#This Row],[Revenue]]="",data_tab[[#This Row],[Cost]]=""),"Remove",IF(OR(data_tab[[#This Row],[Revenue]]="",data_tab[[#This Row],[Cost]]=""),"Flag","Valid"))</f>
        <v>Valid</v>
      </c>
      <c r="L934" t="str">
        <f>IF((COUNTIFS(data_tab[Revenue],data_tab[[#This Row],[Revenue]],data_tab[Cost],data_tab[[#This Row],[Cost]]))&gt;1,"Duplicate","Unique")</f>
        <v>Unique</v>
      </c>
      <c r="M934">
        <f>data_tab[[#This Row],[Revenue]]-data_tab[[#This Row],[Cost]]</f>
        <v>157631.25858951401</v>
      </c>
      <c r="N934" t="str">
        <f>IF(data_tab[[#This Row],[Revenue]]&lt;0,"Return","Sale")</f>
        <v>Sale</v>
      </c>
    </row>
    <row r="935" spans="1:14" hidden="1">
      <c r="A935" s="1">
        <v>46116</v>
      </c>
      <c r="B935">
        <f>MONTH(data_tab[[#This Row],[Order Date]])</f>
        <v>4</v>
      </c>
      <c r="C935">
        <f>YEAR(data_tab[[#This Row],[Order Date]])</f>
        <v>2026</v>
      </c>
      <c r="D935" t="s">
        <v>40</v>
      </c>
      <c r="E935" t="s">
        <v>15</v>
      </c>
      <c r="F935" t="s">
        <v>21</v>
      </c>
      <c r="G935" t="s">
        <v>33</v>
      </c>
      <c r="H935">
        <v>4</v>
      </c>
      <c r="I935">
        <v>25992</v>
      </c>
      <c r="J935">
        <v>15884.6306353004</v>
      </c>
      <c r="K935" t="str">
        <f>IF(AND(data_tab[[#This Row],[Revenue]]="",data_tab[[#This Row],[Cost]]=""),"Remove",IF(OR(data_tab[[#This Row],[Revenue]]="",data_tab[[#This Row],[Cost]]=""),"Flag","Valid"))</f>
        <v>Valid</v>
      </c>
      <c r="L935" t="str">
        <f>IF((COUNTIFS(data_tab[Revenue],data_tab[[#This Row],[Revenue]],data_tab[Cost],data_tab[[#This Row],[Cost]]))&gt;1,"Duplicate","Unique")</f>
        <v>Unique</v>
      </c>
      <c r="M935">
        <f>data_tab[[#This Row],[Revenue]]-data_tab[[#This Row],[Cost]]</f>
        <v>10107.3693646996</v>
      </c>
      <c r="N935" t="str">
        <f>IF(data_tab[[#This Row],[Revenue]]&lt;0,"Return","Sale")</f>
        <v>Sale</v>
      </c>
    </row>
    <row r="936" spans="1:14" hidden="1">
      <c r="A936" s="1">
        <v>46188</v>
      </c>
      <c r="B936">
        <f>MONTH(data_tab[[#This Row],[Order Date]])</f>
        <v>6</v>
      </c>
      <c r="C936">
        <f>YEAR(data_tab[[#This Row],[Order Date]])</f>
        <v>2026</v>
      </c>
      <c r="D936" t="s">
        <v>29</v>
      </c>
      <c r="E936" t="s">
        <v>15</v>
      </c>
      <c r="F936" t="s">
        <v>24</v>
      </c>
      <c r="G936" t="s">
        <v>41</v>
      </c>
      <c r="H936">
        <v>2</v>
      </c>
      <c r="I936">
        <v>35530</v>
      </c>
      <c r="J936">
        <v>18000.7477265218</v>
      </c>
      <c r="K936" t="str">
        <f>IF(AND(data_tab[[#This Row],[Revenue]]="",data_tab[[#This Row],[Cost]]=""),"Remove",IF(OR(data_tab[[#This Row],[Revenue]]="",data_tab[[#This Row],[Cost]]=""),"Flag","Valid"))</f>
        <v>Valid</v>
      </c>
      <c r="L936" t="str">
        <f>IF((COUNTIFS(data_tab[Revenue],data_tab[[#This Row],[Revenue]],data_tab[Cost],data_tab[[#This Row],[Cost]]))&gt;1,"Duplicate","Unique")</f>
        <v>Unique</v>
      </c>
      <c r="M936">
        <f>data_tab[[#This Row],[Revenue]]-data_tab[[#This Row],[Cost]]</f>
        <v>17529.2522734782</v>
      </c>
      <c r="N936" t="str">
        <f>IF(data_tab[[#This Row],[Revenue]]&lt;0,"Return","Sale")</f>
        <v>Sale</v>
      </c>
    </row>
    <row r="937" spans="1:14">
      <c r="A937" s="1">
        <v>46158</v>
      </c>
      <c r="B937">
        <f>MONTH(data_tab[[#This Row],[Order Date]])</f>
        <v>5</v>
      </c>
      <c r="C937">
        <f>YEAR(data_tab[[#This Row],[Order Date]])</f>
        <v>2026</v>
      </c>
      <c r="D937" t="s">
        <v>40</v>
      </c>
      <c r="E937" t="s">
        <v>15</v>
      </c>
      <c r="F937" t="s">
        <v>24</v>
      </c>
      <c r="G937" t="s">
        <v>37</v>
      </c>
      <c r="H937">
        <v>7</v>
      </c>
      <c r="I937">
        <v>111279</v>
      </c>
      <c r="J937">
        <v>62343.839249997502</v>
      </c>
      <c r="K937" t="str">
        <f>IF(AND(data_tab[[#This Row],[Revenue]]="",data_tab[[#This Row],[Cost]]=""),"Remove",IF(OR(data_tab[[#This Row],[Revenue]]="",data_tab[[#This Row],[Cost]]=""),"Flag","Valid"))</f>
        <v>Valid</v>
      </c>
      <c r="L937" t="str">
        <f>IF((COUNTIFS(data_tab[Revenue],data_tab[[#This Row],[Revenue]],data_tab[Cost],data_tab[[#This Row],[Cost]]))&gt;1,"Duplicate","Unique")</f>
        <v>Unique</v>
      </c>
      <c r="M937">
        <f>data_tab[[#This Row],[Revenue]]-data_tab[[#This Row],[Cost]]</f>
        <v>48935.160750002498</v>
      </c>
      <c r="N937" t="str">
        <f>IF(data_tab[[#This Row],[Revenue]]&lt;0,"Return","Sale")</f>
        <v>Sale</v>
      </c>
    </row>
    <row r="938" spans="1:14" hidden="1">
      <c r="A938" s="1">
        <v>46092</v>
      </c>
      <c r="B938">
        <f>MONTH(data_tab[[#This Row],[Order Date]])</f>
        <v>3</v>
      </c>
      <c r="C938">
        <f>YEAR(data_tab[[#This Row],[Order Date]])</f>
        <v>2026</v>
      </c>
      <c r="D938" t="s">
        <v>29</v>
      </c>
      <c r="E938" t="s">
        <v>15</v>
      </c>
      <c r="F938" t="s">
        <v>36</v>
      </c>
      <c r="G938" t="s">
        <v>17</v>
      </c>
      <c r="H938">
        <v>5</v>
      </c>
      <c r="I938">
        <v>72075</v>
      </c>
      <c r="J938">
        <v>47647.113335599497</v>
      </c>
      <c r="K938" t="str">
        <f>IF(AND(data_tab[[#This Row],[Revenue]]="",data_tab[[#This Row],[Cost]]=""),"Remove",IF(OR(data_tab[[#This Row],[Revenue]]="",data_tab[[#This Row],[Cost]]=""),"Flag","Valid"))</f>
        <v>Valid</v>
      </c>
      <c r="L938" t="str">
        <f>IF((COUNTIFS(data_tab[Revenue],data_tab[[#This Row],[Revenue]],data_tab[Cost],data_tab[[#This Row],[Cost]]))&gt;1,"Duplicate","Unique")</f>
        <v>Unique</v>
      </c>
      <c r="M938">
        <f>data_tab[[#This Row],[Revenue]]-data_tab[[#This Row],[Cost]]</f>
        <v>24427.886664400503</v>
      </c>
      <c r="N938" t="str">
        <f>IF(data_tab[[#This Row],[Revenue]]&lt;0,"Return","Sale")</f>
        <v>Sale</v>
      </c>
    </row>
    <row r="939" spans="1:14" hidden="1">
      <c r="A939" s="1">
        <v>46133</v>
      </c>
      <c r="B939">
        <f>MONTH(data_tab[[#This Row],[Order Date]])</f>
        <v>4</v>
      </c>
      <c r="C939">
        <f>YEAR(data_tab[[#This Row],[Order Date]])</f>
        <v>2026</v>
      </c>
      <c r="D939" t="s">
        <v>20</v>
      </c>
      <c r="E939" t="s">
        <v>15</v>
      </c>
      <c r="F939" t="s">
        <v>21</v>
      </c>
      <c r="G939" t="s">
        <v>39</v>
      </c>
      <c r="H939">
        <v>4</v>
      </c>
      <c r="J939">
        <v>19907.775100064398</v>
      </c>
      <c r="K939" t="str">
        <f>IF(AND(data_tab[[#This Row],[Revenue]]="",data_tab[[#This Row],[Cost]]=""),"Remove",IF(OR(data_tab[[#This Row],[Revenue]]="",data_tab[[#This Row],[Cost]]=""),"Flag","Valid"))</f>
        <v>Flag</v>
      </c>
      <c r="L939" t="str">
        <f>IF((COUNTIFS(data_tab[Revenue],data_tab[[#This Row],[Revenue]],data_tab[Cost],data_tab[[#This Row],[Cost]]))&gt;1,"Duplicate","Unique")</f>
        <v>Unique</v>
      </c>
      <c r="M939">
        <f>data_tab[[#This Row],[Revenue]]-data_tab[[#This Row],[Cost]]</f>
        <v>-19907.775100064398</v>
      </c>
      <c r="N939" t="str">
        <f>IF(data_tab[[#This Row],[Revenue]]&lt;0,"Return","Sale")</f>
        <v>Sale</v>
      </c>
    </row>
    <row r="940" spans="1:14" hidden="1">
      <c r="A940" s="1">
        <v>46048</v>
      </c>
      <c r="B940">
        <f>MONTH(data_tab[[#This Row],[Order Date]])</f>
        <v>1</v>
      </c>
      <c r="C940">
        <f>YEAR(data_tab[[#This Row],[Order Date]])</f>
        <v>2026</v>
      </c>
      <c r="D940" t="s">
        <v>14</v>
      </c>
      <c r="E940" t="s">
        <v>15</v>
      </c>
      <c r="F940" t="s">
        <v>36</v>
      </c>
      <c r="G940" t="s">
        <v>33</v>
      </c>
      <c r="H940">
        <v>7</v>
      </c>
      <c r="I940">
        <v>60473</v>
      </c>
      <c r="J940">
        <v>35555.422011237097</v>
      </c>
      <c r="K940" t="str">
        <f>IF(AND(data_tab[[#This Row],[Revenue]]="",data_tab[[#This Row],[Cost]]=""),"Remove",IF(OR(data_tab[[#This Row],[Revenue]]="",data_tab[[#This Row],[Cost]]=""),"Flag","Valid"))</f>
        <v>Valid</v>
      </c>
      <c r="L940" t="str">
        <f>IF((COUNTIFS(data_tab[Revenue],data_tab[[#This Row],[Revenue]],data_tab[Cost],data_tab[[#This Row],[Cost]]))&gt;1,"Duplicate","Unique")</f>
        <v>Duplicate</v>
      </c>
      <c r="M940">
        <f>data_tab[[#This Row],[Revenue]]-data_tab[[#This Row],[Cost]]</f>
        <v>24917.577988762903</v>
      </c>
      <c r="N940" t="str">
        <f>IF(data_tab[[#This Row],[Revenue]]&lt;0,"Return","Sale")</f>
        <v>Sale</v>
      </c>
    </row>
    <row r="941" spans="1:14" hidden="1">
      <c r="A941" s="1">
        <v>46066</v>
      </c>
      <c r="B941">
        <f>MONTH(data_tab[[#This Row],[Order Date]])</f>
        <v>2</v>
      </c>
      <c r="C941">
        <f>YEAR(data_tab[[#This Row],[Order Date]])</f>
        <v>2026</v>
      </c>
      <c r="D941" t="s">
        <v>35</v>
      </c>
      <c r="E941" t="s">
        <v>32</v>
      </c>
      <c r="F941" t="s">
        <v>16</v>
      </c>
      <c r="G941" t="s">
        <v>41</v>
      </c>
      <c r="H941">
        <v>1</v>
      </c>
      <c r="I941">
        <v>8176</v>
      </c>
      <c r="J941">
        <v>4693.2817919805302</v>
      </c>
      <c r="K941" t="str">
        <f>IF(AND(data_tab[[#This Row],[Revenue]]="",data_tab[[#This Row],[Cost]]=""),"Remove",IF(OR(data_tab[[#This Row],[Revenue]]="",data_tab[[#This Row],[Cost]]=""),"Flag","Valid"))</f>
        <v>Valid</v>
      </c>
      <c r="L941" t="str">
        <f>IF((COUNTIFS(data_tab[Revenue],data_tab[[#This Row],[Revenue]],data_tab[Cost],data_tab[[#This Row],[Cost]]))&gt;1,"Duplicate","Unique")</f>
        <v>Unique</v>
      </c>
      <c r="M941">
        <f>data_tab[[#This Row],[Revenue]]-data_tab[[#This Row],[Cost]]</f>
        <v>3482.7182080194698</v>
      </c>
      <c r="N941" t="str">
        <f>IF(data_tab[[#This Row],[Revenue]]&lt;0,"Return","Sale")</f>
        <v>Sale</v>
      </c>
    </row>
    <row r="942" spans="1:14" hidden="1">
      <c r="A942" s="1">
        <v>46199</v>
      </c>
      <c r="B942">
        <f>MONTH(data_tab[[#This Row],[Order Date]])</f>
        <v>6</v>
      </c>
      <c r="C942">
        <f>YEAR(data_tab[[#This Row],[Order Date]])</f>
        <v>2026</v>
      </c>
      <c r="D942" t="s">
        <v>20</v>
      </c>
      <c r="E942" t="s">
        <v>15</v>
      </c>
      <c r="F942" t="s">
        <v>21</v>
      </c>
      <c r="G942" t="s">
        <v>17</v>
      </c>
      <c r="H942">
        <v>6</v>
      </c>
      <c r="J942">
        <v>106334.977794547</v>
      </c>
      <c r="K942" t="str">
        <f>IF(AND(data_tab[[#This Row],[Revenue]]="",data_tab[[#This Row],[Cost]]=""),"Remove",IF(OR(data_tab[[#This Row],[Revenue]]="",data_tab[[#This Row],[Cost]]=""),"Flag","Valid"))</f>
        <v>Flag</v>
      </c>
      <c r="L942" t="str">
        <f>IF((COUNTIFS(data_tab[Revenue],data_tab[[#This Row],[Revenue]],data_tab[Cost],data_tab[[#This Row],[Cost]]))&gt;1,"Duplicate","Unique")</f>
        <v>Unique</v>
      </c>
      <c r="M942">
        <f>data_tab[[#This Row],[Revenue]]-data_tab[[#This Row],[Cost]]</f>
        <v>-106334.977794547</v>
      </c>
      <c r="N942" t="str">
        <f>IF(data_tab[[#This Row],[Revenue]]&lt;0,"Return","Sale")</f>
        <v>Sale</v>
      </c>
    </row>
    <row r="943" spans="1:14" hidden="1">
      <c r="A943" s="1">
        <v>46068</v>
      </c>
      <c r="B943">
        <f>MONTH(data_tab[[#This Row],[Order Date]])</f>
        <v>2</v>
      </c>
      <c r="C943">
        <f>YEAR(data_tab[[#This Row],[Order Date]])</f>
        <v>2026</v>
      </c>
      <c r="D943" t="s">
        <v>31</v>
      </c>
      <c r="E943" t="s">
        <v>32</v>
      </c>
      <c r="F943" t="s">
        <v>24</v>
      </c>
      <c r="G943" t="s">
        <v>26</v>
      </c>
      <c r="H943">
        <v>6</v>
      </c>
      <c r="I943">
        <v>198312</v>
      </c>
      <c r="J943">
        <v>145414.959789227</v>
      </c>
      <c r="K943" t="str">
        <f>IF(AND(data_tab[[#This Row],[Revenue]]="",data_tab[[#This Row],[Cost]]=""),"Remove",IF(OR(data_tab[[#This Row],[Revenue]]="",data_tab[[#This Row],[Cost]]=""),"Flag","Valid"))</f>
        <v>Valid</v>
      </c>
      <c r="L943" t="str">
        <f>IF((COUNTIFS(data_tab[Revenue],data_tab[[#This Row],[Revenue]],data_tab[Cost],data_tab[[#This Row],[Cost]]))&gt;1,"Duplicate","Unique")</f>
        <v>Unique</v>
      </c>
      <c r="M943">
        <f>data_tab[[#This Row],[Revenue]]-data_tab[[#This Row],[Cost]]</f>
        <v>52897.040210773004</v>
      </c>
      <c r="N943" t="str">
        <f>IF(data_tab[[#This Row],[Revenue]]&lt;0,"Return","Sale")</f>
        <v>Sale</v>
      </c>
    </row>
    <row r="944" spans="1:14" hidden="1">
      <c r="A944" s="1">
        <v>46027</v>
      </c>
      <c r="B944">
        <f>MONTH(data_tab[[#This Row],[Order Date]])</f>
        <v>1</v>
      </c>
      <c r="C944">
        <f>YEAR(data_tab[[#This Row],[Order Date]])</f>
        <v>2026</v>
      </c>
      <c r="D944" t="s">
        <v>23</v>
      </c>
      <c r="E944" t="s">
        <v>15</v>
      </c>
      <c r="F944" t="s">
        <v>21</v>
      </c>
      <c r="G944" t="s">
        <v>26</v>
      </c>
      <c r="H944">
        <v>9</v>
      </c>
      <c r="I944">
        <v>116676</v>
      </c>
      <c r="J944">
        <v>93573.800977357299</v>
      </c>
      <c r="K944" t="str">
        <f>IF(AND(data_tab[[#This Row],[Revenue]]="",data_tab[[#This Row],[Cost]]=""),"Remove",IF(OR(data_tab[[#This Row],[Revenue]]="",data_tab[[#This Row],[Cost]]=""),"Flag","Valid"))</f>
        <v>Valid</v>
      </c>
      <c r="L944" t="str">
        <f>IF((COUNTIFS(data_tab[Revenue],data_tab[[#This Row],[Revenue]],data_tab[Cost],data_tab[[#This Row],[Cost]]))&gt;1,"Duplicate","Unique")</f>
        <v>Unique</v>
      </c>
      <c r="M944">
        <f>data_tab[[#This Row],[Revenue]]-data_tab[[#This Row],[Cost]]</f>
        <v>23102.199022642701</v>
      </c>
      <c r="N944" t="str">
        <f>IF(data_tab[[#This Row],[Revenue]]&lt;0,"Return","Sale")</f>
        <v>Sale</v>
      </c>
    </row>
    <row r="945" spans="1:14" hidden="1">
      <c r="A945" s="1">
        <v>46108</v>
      </c>
      <c r="B945">
        <f>MONTH(data_tab[[#This Row],[Order Date]])</f>
        <v>3</v>
      </c>
      <c r="C945">
        <f>YEAR(data_tab[[#This Row],[Order Date]])</f>
        <v>2026</v>
      </c>
      <c r="D945" t="s">
        <v>40</v>
      </c>
      <c r="E945" t="s">
        <v>15</v>
      </c>
      <c r="F945" t="s">
        <v>16</v>
      </c>
      <c r="G945" t="s">
        <v>41</v>
      </c>
      <c r="H945">
        <v>8</v>
      </c>
      <c r="J945">
        <v>96159.986921063493</v>
      </c>
      <c r="K945" t="str">
        <f>IF(AND(data_tab[[#This Row],[Revenue]]="",data_tab[[#This Row],[Cost]]=""),"Remove",IF(OR(data_tab[[#This Row],[Revenue]]="",data_tab[[#This Row],[Cost]]=""),"Flag","Valid"))</f>
        <v>Flag</v>
      </c>
      <c r="L945" t="str">
        <f>IF((COUNTIFS(data_tab[Revenue],data_tab[[#This Row],[Revenue]],data_tab[Cost],data_tab[[#This Row],[Cost]]))&gt;1,"Duplicate","Unique")</f>
        <v>Unique</v>
      </c>
      <c r="M945">
        <f>data_tab[[#This Row],[Revenue]]-data_tab[[#This Row],[Cost]]</f>
        <v>-96159.986921063493</v>
      </c>
      <c r="N945" t="str">
        <f>IF(data_tab[[#This Row],[Revenue]]&lt;0,"Return","Sale")</f>
        <v>Sale</v>
      </c>
    </row>
    <row r="946" spans="1:14">
      <c r="A946" s="1">
        <v>46155</v>
      </c>
      <c r="B946">
        <f>MONTH(data_tab[[#This Row],[Order Date]])</f>
        <v>5</v>
      </c>
      <c r="C946">
        <f>YEAR(data_tab[[#This Row],[Order Date]])</f>
        <v>2026</v>
      </c>
      <c r="D946" t="s">
        <v>23</v>
      </c>
      <c r="E946" t="s">
        <v>15</v>
      </c>
      <c r="F946" t="s">
        <v>36</v>
      </c>
      <c r="G946" t="s">
        <v>39</v>
      </c>
      <c r="H946">
        <v>5</v>
      </c>
      <c r="I946">
        <v>234715</v>
      </c>
      <c r="J946">
        <v>166113.335413405</v>
      </c>
      <c r="K946" t="str">
        <f>IF(AND(data_tab[[#This Row],[Revenue]]="",data_tab[[#This Row],[Cost]]=""),"Remove",IF(OR(data_tab[[#This Row],[Revenue]]="",data_tab[[#This Row],[Cost]]=""),"Flag","Valid"))</f>
        <v>Valid</v>
      </c>
      <c r="L946" t="str">
        <f>IF((COUNTIFS(data_tab[Revenue],data_tab[[#This Row],[Revenue]],data_tab[Cost],data_tab[[#This Row],[Cost]]))&gt;1,"Duplicate","Unique")</f>
        <v>Unique</v>
      </c>
      <c r="M946">
        <f>data_tab[[#This Row],[Revenue]]-data_tab[[#This Row],[Cost]]</f>
        <v>68601.664586594998</v>
      </c>
      <c r="N946" t="str">
        <f>IF(data_tab[[#This Row],[Revenue]]&lt;0,"Return","Sale")</f>
        <v>Sale</v>
      </c>
    </row>
    <row r="947" spans="1:14" hidden="1">
      <c r="A947" s="1">
        <v>46079</v>
      </c>
      <c r="B947">
        <f>MONTH(data_tab[[#This Row],[Order Date]])</f>
        <v>2</v>
      </c>
      <c r="C947">
        <f>YEAR(data_tab[[#This Row],[Order Date]])</f>
        <v>2026</v>
      </c>
      <c r="D947" t="s">
        <v>29</v>
      </c>
      <c r="E947" t="s">
        <v>15</v>
      </c>
      <c r="F947" t="s">
        <v>24</v>
      </c>
      <c r="G947" t="s">
        <v>17</v>
      </c>
      <c r="H947">
        <v>10</v>
      </c>
      <c r="I947">
        <v>476000</v>
      </c>
      <c r="J947">
        <v>423314.527991482</v>
      </c>
      <c r="K947" t="str">
        <f>IF(AND(data_tab[[#This Row],[Revenue]]="",data_tab[[#This Row],[Cost]]=""),"Remove",IF(OR(data_tab[[#This Row],[Revenue]]="",data_tab[[#This Row],[Cost]]=""),"Flag","Valid"))</f>
        <v>Valid</v>
      </c>
      <c r="L947" t="str">
        <f>IF((COUNTIFS(data_tab[Revenue],data_tab[[#This Row],[Revenue]],data_tab[Cost],data_tab[[#This Row],[Cost]]))&gt;1,"Duplicate","Unique")</f>
        <v>Unique</v>
      </c>
      <c r="M947">
        <f>data_tab[[#This Row],[Revenue]]-data_tab[[#This Row],[Cost]]</f>
        <v>52685.472008518002</v>
      </c>
      <c r="N947" t="str">
        <f>IF(data_tab[[#This Row],[Revenue]]&lt;0,"Return","Sale")</f>
        <v>Sale</v>
      </c>
    </row>
    <row r="948" spans="1:14" hidden="1">
      <c r="A948" s="1">
        <v>46119</v>
      </c>
      <c r="B948">
        <f>MONTH(data_tab[[#This Row],[Order Date]])</f>
        <v>4</v>
      </c>
      <c r="C948">
        <f>YEAR(data_tab[[#This Row],[Order Date]])</f>
        <v>2026</v>
      </c>
      <c r="D948" t="s">
        <v>14</v>
      </c>
      <c r="E948" t="s">
        <v>15</v>
      </c>
      <c r="F948" t="s">
        <v>36</v>
      </c>
      <c r="G948" t="s">
        <v>26</v>
      </c>
      <c r="H948">
        <v>3</v>
      </c>
      <c r="I948">
        <v>58161</v>
      </c>
      <c r="J948">
        <v>50258.719259146303</v>
      </c>
      <c r="K948" t="str">
        <f>IF(AND(data_tab[[#This Row],[Revenue]]="",data_tab[[#This Row],[Cost]]=""),"Remove",IF(OR(data_tab[[#This Row],[Revenue]]="",data_tab[[#This Row],[Cost]]=""),"Flag","Valid"))</f>
        <v>Valid</v>
      </c>
      <c r="L948" t="str">
        <f>IF((COUNTIFS(data_tab[Revenue],data_tab[[#This Row],[Revenue]],data_tab[Cost],data_tab[[#This Row],[Cost]]))&gt;1,"Duplicate","Unique")</f>
        <v>Unique</v>
      </c>
      <c r="M948">
        <f>data_tab[[#This Row],[Revenue]]-data_tab[[#This Row],[Cost]]</f>
        <v>7902.2807408536974</v>
      </c>
      <c r="N948" t="str">
        <f>IF(data_tab[[#This Row],[Revenue]]&lt;0,"Return","Sale")</f>
        <v>Sale</v>
      </c>
    </row>
    <row r="949" spans="1:14" hidden="1">
      <c r="A949" s="1">
        <v>46093</v>
      </c>
      <c r="B949">
        <f>MONTH(data_tab[[#This Row],[Order Date]])</f>
        <v>3</v>
      </c>
      <c r="C949">
        <f>YEAR(data_tab[[#This Row],[Order Date]])</f>
        <v>2026</v>
      </c>
      <c r="D949" t="s">
        <v>40</v>
      </c>
      <c r="E949" t="s">
        <v>15</v>
      </c>
      <c r="F949" t="s">
        <v>16</v>
      </c>
      <c r="G949" t="s">
        <v>26</v>
      </c>
      <c r="H949">
        <v>2</v>
      </c>
      <c r="I949">
        <v>60814</v>
      </c>
      <c r="J949">
        <v>49753.950103408199</v>
      </c>
      <c r="K949" t="str">
        <f>IF(AND(data_tab[[#This Row],[Revenue]]="",data_tab[[#This Row],[Cost]]=""),"Remove",IF(OR(data_tab[[#This Row],[Revenue]]="",data_tab[[#This Row],[Cost]]=""),"Flag","Valid"))</f>
        <v>Valid</v>
      </c>
      <c r="L949" t="str">
        <f>IF((COUNTIFS(data_tab[Revenue],data_tab[[#This Row],[Revenue]],data_tab[Cost],data_tab[[#This Row],[Cost]]))&gt;1,"Duplicate","Unique")</f>
        <v>Duplicate</v>
      </c>
      <c r="M949">
        <f>data_tab[[#This Row],[Revenue]]-data_tab[[#This Row],[Cost]]</f>
        <v>11060.049896591801</v>
      </c>
      <c r="N949" t="str">
        <f>IF(data_tab[[#This Row],[Revenue]]&lt;0,"Return","Sale")</f>
        <v>Sale</v>
      </c>
    </row>
    <row r="950" spans="1:14" hidden="1">
      <c r="A950" s="1">
        <v>46051</v>
      </c>
      <c r="B950">
        <f>MONTH(data_tab[[#This Row],[Order Date]])</f>
        <v>1</v>
      </c>
      <c r="C950">
        <f>YEAR(data_tab[[#This Row],[Order Date]])</f>
        <v>2026</v>
      </c>
      <c r="D950" t="s">
        <v>14</v>
      </c>
      <c r="E950" t="s">
        <v>15</v>
      </c>
      <c r="F950" t="s">
        <v>21</v>
      </c>
      <c r="G950" t="s">
        <v>33</v>
      </c>
      <c r="H950">
        <v>3</v>
      </c>
      <c r="I950">
        <v>108861</v>
      </c>
      <c r="J950">
        <v>96523.629114132898</v>
      </c>
      <c r="K950" t="str">
        <f>IF(AND(data_tab[[#This Row],[Revenue]]="",data_tab[[#This Row],[Cost]]=""),"Remove",IF(OR(data_tab[[#This Row],[Revenue]]="",data_tab[[#This Row],[Cost]]=""),"Flag","Valid"))</f>
        <v>Valid</v>
      </c>
      <c r="L950" t="str">
        <f>IF((COUNTIFS(data_tab[Revenue],data_tab[[#This Row],[Revenue]],data_tab[Cost],data_tab[[#This Row],[Cost]]))&gt;1,"Duplicate","Unique")</f>
        <v>Unique</v>
      </c>
      <c r="M950">
        <f>data_tab[[#This Row],[Revenue]]-data_tab[[#This Row],[Cost]]</f>
        <v>12337.370885867102</v>
      </c>
      <c r="N950" t="str">
        <f>IF(data_tab[[#This Row],[Revenue]]&lt;0,"Return","Sale")</f>
        <v>Sale</v>
      </c>
    </row>
    <row r="951" spans="1:14" hidden="1">
      <c r="A951" s="1">
        <v>46096</v>
      </c>
      <c r="B951">
        <f>MONTH(data_tab[[#This Row],[Order Date]])</f>
        <v>3</v>
      </c>
      <c r="C951">
        <f>YEAR(data_tab[[#This Row],[Order Date]])</f>
        <v>2026</v>
      </c>
      <c r="D951" t="s">
        <v>35</v>
      </c>
      <c r="E951" t="s">
        <v>32</v>
      </c>
      <c r="F951" t="s">
        <v>24</v>
      </c>
      <c r="G951" t="s">
        <v>33</v>
      </c>
      <c r="H951">
        <v>1</v>
      </c>
      <c r="I951">
        <v>16242</v>
      </c>
      <c r="J951">
        <v>9959.7067866423495</v>
      </c>
      <c r="K951" t="str">
        <f>IF(AND(data_tab[[#This Row],[Revenue]]="",data_tab[[#This Row],[Cost]]=""),"Remove",IF(OR(data_tab[[#This Row],[Revenue]]="",data_tab[[#This Row],[Cost]]=""),"Flag","Valid"))</f>
        <v>Valid</v>
      </c>
      <c r="L951" t="str">
        <f>IF((COUNTIFS(data_tab[Revenue],data_tab[[#This Row],[Revenue]],data_tab[Cost],data_tab[[#This Row],[Cost]]))&gt;1,"Duplicate","Unique")</f>
        <v>Unique</v>
      </c>
      <c r="M951">
        <f>data_tab[[#This Row],[Revenue]]-data_tab[[#This Row],[Cost]]</f>
        <v>6282.2932133576505</v>
      </c>
      <c r="N951" t="str">
        <f>IF(data_tab[[#This Row],[Revenue]]&lt;0,"Return","Sale")</f>
        <v>Sale</v>
      </c>
    </row>
    <row r="952" spans="1:14" hidden="1">
      <c r="A952" s="1">
        <v>46133</v>
      </c>
      <c r="B952">
        <f>MONTH(data_tab[[#This Row],[Order Date]])</f>
        <v>4</v>
      </c>
      <c r="C952">
        <f>YEAR(data_tab[[#This Row],[Order Date]])</f>
        <v>2026</v>
      </c>
      <c r="D952" t="s">
        <v>20</v>
      </c>
      <c r="E952" t="s">
        <v>15</v>
      </c>
      <c r="F952" t="s">
        <v>16</v>
      </c>
      <c r="G952" t="s">
        <v>17</v>
      </c>
      <c r="H952">
        <v>6</v>
      </c>
      <c r="I952">
        <v>123384</v>
      </c>
      <c r="J952">
        <v>100447.570748174</v>
      </c>
      <c r="K952" t="str">
        <f>IF(AND(data_tab[[#This Row],[Revenue]]="",data_tab[[#This Row],[Cost]]=""),"Remove",IF(OR(data_tab[[#This Row],[Revenue]]="",data_tab[[#This Row],[Cost]]=""),"Flag","Valid"))</f>
        <v>Valid</v>
      </c>
      <c r="L952" t="str">
        <f>IF((COUNTIFS(data_tab[Revenue],data_tab[[#This Row],[Revenue]],data_tab[Cost],data_tab[[#This Row],[Cost]]))&gt;1,"Duplicate","Unique")</f>
        <v>Unique</v>
      </c>
      <c r="M952">
        <f>data_tab[[#This Row],[Revenue]]-data_tab[[#This Row],[Cost]]</f>
        <v>22936.429251826004</v>
      </c>
      <c r="N952" t="str">
        <f>IF(data_tab[[#This Row],[Revenue]]&lt;0,"Return","Sale")</f>
        <v>Sale</v>
      </c>
    </row>
    <row r="953" spans="1:14" hidden="1">
      <c r="A953" s="1">
        <v>46045</v>
      </c>
      <c r="B953">
        <f>MONTH(data_tab[[#This Row],[Order Date]])</f>
        <v>1</v>
      </c>
      <c r="C953">
        <f>YEAR(data_tab[[#This Row],[Order Date]])</f>
        <v>2026</v>
      </c>
      <c r="D953" t="s">
        <v>14</v>
      </c>
      <c r="E953" t="s">
        <v>15</v>
      </c>
      <c r="F953" t="s">
        <v>21</v>
      </c>
      <c r="G953" t="s">
        <v>33</v>
      </c>
      <c r="H953">
        <v>10</v>
      </c>
      <c r="J953">
        <v>44923.623868174902</v>
      </c>
      <c r="K953" t="str">
        <f>IF(AND(data_tab[[#This Row],[Revenue]]="",data_tab[[#This Row],[Cost]]=""),"Remove",IF(OR(data_tab[[#This Row],[Revenue]]="",data_tab[[#This Row],[Cost]]=""),"Flag","Valid"))</f>
        <v>Flag</v>
      </c>
      <c r="L953" t="str">
        <f>IF((COUNTIFS(data_tab[Revenue],data_tab[[#This Row],[Revenue]],data_tab[Cost],data_tab[[#This Row],[Cost]]))&gt;1,"Duplicate","Unique")</f>
        <v>Unique</v>
      </c>
      <c r="M953">
        <f>data_tab[[#This Row],[Revenue]]-data_tab[[#This Row],[Cost]]</f>
        <v>-44923.623868174902</v>
      </c>
      <c r="N953" t="str">
        <f>IF(data_tab[[#This Row],[Revenue]]&lt;0,"Return","Sale")</f>
        <v>Sale</v>
      </c>
    </row>
    <row r="954" spans="1:14" hidden="1">
      <c r="A954" s="1">
        <v>46196</v>
      </c>
      <c r="B954">
        <f>MONTH(data_tab[[#This Row],[Order Date]])</f>
        <v>6</v>
      </c>
      <c r="C954">
        <f>YEAR(data_tab[[#This Row],[Order Date]])</f>
        <v>2026</v>
      </c>
      <c r="D954" t="s">
        <v>20</v>
      </c>
      <c r="E954" t="s">
        <v>15</v>
      </c>
      <c r="F954" t="s">
        <v>16</v>
      </c>
      <c r="G954" t="s">
        <v>37</v>
      </c>
      <c r="H954">
        <v>10</v>
      </c>
      <c r="I954">
        <v>223640</v>
      </c>
      <c r="J954">
        <v>127322.90095672599</v>
      </c>
      <c r="K954" t="str">
        <f>IF(AND(data_tab[[#This Row],[Revenue]]="",data_tab[[#This Row],[Cost]]=""),"Remove",IF(OR(data_tab[[#This Row],[Revenue]]="",data_tab[[#This Row],[Cost]]=""),"Flag","Valid"))</f>
        <v>Valid</v>
      </c>
      <c r="L954" t="str">
        <f>IF((COUNTIFS(data_tab[Revenue],data_tab[[#This Row],[Revenue]],data_tab[Cost],data_tab[[#This Row],[Cost]]))&gt;1,"Duplicate","Unique")</f>
        <v>Unique</v>
      </c>
      <c r="M954">
        <f>data_tab[[#This Row],[Revenue]]-data_tab[[#This Row],[Cost]]</f>
        <v>96317.099043274007</v>
      </c>
      <c r="N954" t="str">
        <f>IF(data_tab[[#This Row],[Revenue]]&lt;0,"Return","Sale")</f>
        <v>Sale</v>
      </c>
    </row>
    <row r="955" spans="1:14" hidden="1">
      <c r="A955" s="1">
        <v>46058</v>
      </c>
      <c r="B955">
        <f>MONTH(data_tab[[#This Row],[Order Date]])</f>
        <v>2</v>
      </c>
      <c r="C955">
        <f>YEAR(data_tab[[#This Row],[Order Date]])</f>
        <v>2026</v>
      </c>
      <c r="D955" t="s">
        <v>31</v>
      </c>
      <c r="E955" t="s">
        <v>32</v>
      </c>
      <c r="F955" t="s">
        <v>36</v>
      </c>
      <c r="G955" t="s">
        <v>26</v>
      </c>
      <c r="H955">
        <v>4</v>
      </c>
      <c r="I955">
        <v>86920</v>
      </c>
      <c r="J955">
        <v>54064.1042739158</v>
      </c>
      <c r="K955" t="str">
        <f>IF(AND(data_tab[[#This Row],[Revenue]]="",data_tab[[#This Row],[Cost]]=""),"Remove",IF(OR(data_tab[[#This Row],[Revenue]]="",data_tab[[#This Row],[Cost]]=""),"Flag","Valid"))</f>
        <v>Valid</v>
      </c>
      <c r="L955" t="str">
        <f>IF((COUNTIFS(data_tab[Revenue],data_tab[[#This Row],[Revenue]],data_tab[Cost],data_tab[[#This Row],[Cost]]))&gt;1,"Duplicate","Unique")</f>
        <v>Unique</v>
      </c>
      <c r="M955">
        <f>data_tab[[#This Row],[Revenue]]-data_tab[[#This Row],[Cost]]</f>
        <v>32855.8957260842</v>
      </c>
      <c r="N955" t="str">
        <f>IF(data_tab[[#This Row],[Revenue]]&lt;0,"Return","Sale")</f>
        <v>Sale</v>
      </c>
    </row>
    <row r="956" spans="1:14" hidden="1">
      <c r="A956" s="1">
        <v>46069</v>
      </c>
      <c r="B956">
        <f>MONTH(data_tab[[#This Row],[Order Date]])</f>
        <v>2</v>
      </c>
      <c r="C956">
        <f>YEAR(data_tab[[#This Row],[Order Date]])</f>
        <v>2026</v>
      </c>
      <c r="D956" t="s">
        <v>29</v>
      </c>
      <c r="E956" t="s">
        <v>15</v>
      </c>
      <c r="F956" t="s">
        <v>24</v>
      </c>
      <c r="G956" t="s">
        <v>17</v>
      </c>
      <c r="H956">
        <v>9</v>
      </c>
      <c r="I956">
        <v>278640</v>
      </c>
      <c r="J956">
        <v>216685.33093192201</v>
      </c>
      <c r="K956" t="str">
        <f>IF(AND(data_tab[[#This Row],[Revenue]]="",data_tab[[#This Row],[Cost]]=""),"Remove",IF(OR(data_tab[[#This Row],[Revenue]]="",data_tab[[#This Row],[Cost]]=""),"Flag","Valid"))</f>
        <v>Valid</v>
      </c>
      <c r="L956" t="str">
        <f>IF((COUNTIFS(data_tab[Revenue],data_tab[[#This Row],[Revenue]],data_tab[Cost],data_tab[[#This Row],[Cost]]))&gt;1,"Duplicate","Unique")</f>
        <v>Unique</v>
      </c>
      <c r="M956">
        <f>data_tab[[#This Row],[Revenue]]-data_tab[[#This Row],[Cost]]</f>
        <v>61954.669068077987</v>
      </c>
      <c r="N956" t="str">
        <f>IF(data_tab[[#This Row],[Revenue]]&lt;0,"Return","Sale")</f>
        <v>Sale</v>
      </c>
    </row>
    <row r="957" spans="1:14" hidden="1">
      <c r="A957" s="1">
        <v>46113</v>
      </c>
      <c r="B957">
        <f>MONTH(data_tab[[#This Row],[Order Date]])</f>
        <v>4</v>
      </c>
      <c r="C957">
        <f>YEAR(data_tab[[#This Row],[Order Date]])</f>
        <v>2026</v>
      </c>
      <c r="D957" t="s">
        <v>29</v>
      </c>
      <c r="E957" t="s">
        <v>15</v>
      </c>
      <c r="F957" t="s">
        <v>36</v>
      </c>
      <c r="G957" t="s">
        <v>39</v>
      </c>
      <c r="H957">
        <v>9</v>
      </c>
      <c r="I957">
        <v>33579</v>
      </c>
      <c r="J957">
        <v>29650.1462396393</v>
      </c>
      <c r="K957" t="str">
        <f>IF(AND(data_tab[[#This Row],[Revenue]]="",data_tab[[#This Row],[Cost]]=""),"Remove",IF(OR(data_tab[[#This Row],[Revenue]]="",data_tab[[#This Row],[Cost]]=""),"Flag","Valid"))</f>
        <v>Valid</v>
      </c>
      <c r="L957" t="str">
        <f>IF((COUNTIFS(data_tab[Revenue],data_tab[[#This Row],[Revenue]],data_tab[Cost],data_tab[[#This Row],[Cost]]))&gt;1,"Duplicate","Unique")</f>
        <v>Unique</v>
      </c>
      <c r="M957">
        <f>data_tab[[#This Row],[Revenue]]-data_tab[[#This Row],[Cost]]</f>
        <v>3928.8537603607001</v>
      </c>
      <c r="N957" t="str">
        <f>IF(data_tab[[#This Row],[Revenue]]&lt;0,"Return","Sale")</f>
        <v>Sale</v>
      </c>
    </row>
    <row r="958" spans="1:14" hidden="1">
      <c r="A958" s="1">
        <v>46100</v>
      </c>
      <c r="B958">
        <f>MONTH(data_tab[[#This Row],[Order Date]])</f>
        <v>3</v>
      </c>
      <c r="C958">
        <f>YEAR(data_tab[[#This Row],[Order Date]])</f>
        <v>2026</v>
      </c>
      <c r="D958" t="s">
        <v>35</v>
      </c>
      <c r="E958" t="s">
        <v>32</v>
      </c>
      <c r="F958" t="s">
        <v>21</v>
      </c>
      <c r="G958" t="s">
        <v>26</v>
      </c>
      <c r="H958">
        <v>9</v>
      </c>
      <c r="I958">
        <v>351585</v>
      </c>
      <c r="J958">
        <v>299241.76144532801</v>
      </c>
      <c r="K958" t="str">
        <f>IF(AND(data_tab[[#This Row],[Revenue]]="",data_tab[[#This Row],[Cost]]=""),"Remove",IF(OR(data_tab[[#This Row],[Revenue]]="",data_tab[[#This Row],[Cost]]=""),"Flag","Valid"))</f>
        <v>Valid</v>
      </c>
      <c r="L958" t="str">
        <f>IF((COUNTIFS(data_tab[Revenue],data_tab[[#This Row],[Revenue]],data_tab[Cost],data_tab[[#This Row],[Cost]]))&gt;1,"Duplicate","Unique")</f>
        <v>Unique</v>
      </c>
      <c r="M958">
        <f>data_tab[[#This Row],[Revenue]]-data_tab[[#This Row],[Cost]]</f>
        <v>52343.238554671989</v>
      </c>
      <c r="N958" t="str">
        <f>IF(data_tab[[#This Row],[Revenue]]&lt;0,"Return","Sale")</f>
        <v>Sale</v>
      </c>
    </row>
    <row r="959" spans="1:14" hidden="1">
      <c r="A959" s="1">
        <v>46194</v>
      </c>
      <c r="B959">
        <f>MONTH(data_tab[[#This Row],[Order Date]])</f>
        <v>6</v>
      </c>
      <c r="C959">
        <f>YEAR(data_tab[[#This Row],[Order Date]])</f>
        <v>2026</v>
      </c>
      <c r="D959" t="s">
        <v>23</v>
      </c>
      <c r="E959" t="s">
        <v>15</v>
      </c>
      <c r="F959" t="s">
        <v>36</v>
      </c>
      <c r="G959" t="s">
        <v>39</v>
      </c>
      <c r="H959">
        <v>2</v>
      </c>
      <c r="I959">
        <v>11168</v>
      </c>
      <c r="J959">
        <v>6790.9250666268399</v>
      </c>
      <c r="K959" t="str">
        <f>IF(AND(data_tab[[#This Row],[Revenue]]="",data_tab[[#This Row],[Cost]]=""),"Remove",IF(OR(data_tab[[#This Row],[Revenue]]="",data_tab[[#This Row],[Cost]]=""),"Flag","Valid"))</f>
        <v>Valid</v>
      </c>
      <c r="L959" t="str">
        <f>IF((COUNTIFS(data_tab[Revenue],data_tab[[#This Row],[Revenue]],data_tab[Cost],data_tab[[#This Row],[Cost]]))&gt;1,"Duplicate","Unique")</f>
        <v>Unique</v>
      </c>
      <c r="M959">
        <f>data_tab[[#This Row],[Revenue]]-data_tab[[#This Row],[Cost]]</f>
        <v>4377.0749333731601</v>
      </c>
      <c r="N959" t="str">
        <f>IF(data_tab[[#This Row],[Revenue]]&lt;0,"Return","Sale")</f>
        <v>Sale</v>
      </c>
    </row>
    <row r="960" spans="1:14" hidden="1">
      <c r="A960" s="1">
        <v>46097</v>
      </c>
      <c r="B960">
        <f>MONTH(data_tab[[#This Row],[Order Date]])</f>
        <v>3</v>
      </c>
      <c r="C960">
        <f>YEAR(data_tab[[#This Row],[Order Date]])</f>
        <v>2026</v>
      </c>
      <c r="D960" t="s">
        <v>23</v>
      </c>
      <c r="E960" t="s">
        <v>15</v>
      </c>
      <c r="F960" t="s">
        <v>24</v>
      </c>
      <c r="G960" t="s">
        <v>39</v>
      </c>
      <c r="H960">
        <v>10</v>
      </c>
      <c r="I960">
        <v>461980</v>
      </c>
      <c r="J960">
        <v>325385.61041966401</v>
      </c>
      <c r="K960" t="str">
        <f>IF(AND(data_tab[[#This Row],[Revenue]]="",data_tab[[#This Row],[Cost]]=""),"Remove",IF(OR(data_tab[[#This Row],[Revenue]]="",data_tab[[#This Row],[Cost]]=""),"Flag","Valid"))</f>
        <v>Valid</v>
      </c>
      <c r="L960" t="str">
        <f>IF((COUNTIFS(data_tab[Revenue],data_tab[[#This Row],[Revenue]],data_tab[Cost],data_tab[[#This Row],[Cost]]))&gt;1,"Duplicate","Unique")</f>
        <v>Unique</v>
      </c>
      <c r="M960">
        <f>data_tab[[#This Row],[Revenue]]-data_tab[[#This Row],[Cost]]</f>
        <v>136594.38958033599</v>
      </c>
      <c r="N960" t="str">
        <f>IF(data_tab[[#This Row],[Revenue]]&lt;0,"Return","Sale")</f>
        <v>Sale</v>
      </c>
    </row>
    <row r="961" spans="1:14">
      <c r="A961" s="1">
        <v>46166</v>
      </c>
      <c r="B961">
        <f>MONTH(data_tab[[#This Row],[Order Date]])</f>
        <v>5</v>
      </c>
      <c r="C961">
        <f>YEAR(data_tab[[#This Row],[Order Date]])</f>
        <v>2026</v>
      </c>
      <c r="D961" t="s">
        <v>31</v>
      </c>
      <c r="E961" t="s">
        <v>32</v>
      </c>
      <c r="F961" t="s">
        <v>21</v>
      </c>
      <c r="G961" t="s">
        <v>37</v>
      </c>
      <c r="H961">
        <v>5</v>
      </c>
      <c r="J961">
        <v>220015.24865653799</v>
      </c>
      <c r="K961" t="str">
        <f>IF(AND(data_tab[[#This Row],[Revenue]]="",data_tab[[#This Row],[Cost]]=""),"Remove",IF(OR(data_tab[[#This Row],[Revenue]]="",data_tab[[#This Row],[Cost]]=""),"Flag","Valid"))</f>
        <v>Flag</v>
      </c>
      <c r="L961" t="str">
        <f>IF((COUNTIFS(data_tab[Revenue],data_tab[[#This Row],[Revenue]],data_tab[Cost],data_tab[[#This Row],[Cost]]))&gt;1,"Duplicate","Unique")</f>
        <v>Unique</v>
      </c>
      <c r="M961">
        <f>data_tab[[#This Row],[Revenue]]-data_tab[[#This Row],[Cost]]</f>
        <v>-220015.24865653799</v>
      </c>
      <c r="N961" t="str">
        <f>IF(data_tab[[#This Row],[Revenue]]&lt;0,"Return","Sale")</f>
        <v>Sale</v>
      </c>
    </row>
    <row r="962" spans="1:14" hidden="1">
      <c r="A962" s="1">
        <v>46052</v>
      </c>
      <c r="B962">
        <f>MONTH(data_tab[[#This Row],[Order Date]])</f>
        <v>1</v>
      </c>
      <c r="C962">
        <f>YEAR(data_tab[[#This Row],[Order Date]])</f>
        <v>2026</v>
      </c>
      <c r="D962" t="s">
        <v>31</v>
      </c>
      <c r="E962" t="s">
        <v>32</v>
      </c>
      <c r="F962" t="s">
        <v>24</v>
      </c>
      <c r="G962" t="s">
        <v>26</v>
      </c>
      <c r="H962">
        <v>2</v>
      </c>
      <c r="I962">
        <v>36400</v>
      </c>
      <c r="J962">
        <v>21174.515604291199</v>
      </c>
      <c r="K962" t="str">
        <f>IF(AND(data_tab[[#This Row],[Revenue]]="",data_tab[[#This Row],[Cost]]=""),"Remove",IF(OR(data_tab[[#This Row],[Revenue]]="",data_tab[[#This Row],[Cost]]=""),"Flag","Valid"))</f>
        <v>Valid</v>
      </c>
      <c r="L962" t="str">
        <f>IF((COUNTIFS(data_tab[Revenue],data_tab[[#This Row],[Revenue]],data_tab[Cost],data_tab[[#This Row],[Cost]]))&gt;1,"Duplicate","Unique")</f>
        <v>Unique</v>
      </c>
      <c r="M962">
        <f>data_tab[[#This Row],[Revenue]]-data_tab[[#This Row],[Cost]]</f>
        <v>15225.484395708801</v>
      </c>
      <c r="N962" t="str">
        <f>IF(data_tab[[#This Row],[Revenue]]&lt;0,"Return","Sale")</f>
        <v>Sale</v>
      </c>
    </row>
    <row r="963" spans="1:14" hidden="1">
      <c r="A963" s="1">
        <v>46037</v>
      </c>
      <c r="B963">
        <f>MONTH(data_tab[[#This Row],[Order Date]])</f>
        <v>1</v>
      </c>
      <c r="C963">
        <f>YEAR(data_tab[[#This Row],[Order Date]])</f>
        <v>2026</v>
      </c>
      <c r="D963" t="s">
        <v>29</v>
      </c>
      <c r="E963" t="s">
        <v>15</v>
      </c>
      <c r="F963" t="s">
        <v>21</v>
      </c>
      <c r="G963" t="s">
        <v>17</v>
      </c>
      <c r="H963">
        <v>9</v>
      </c>
      <c r="I963">
        <v>171513</v>
      </c>
      <c r="J963">
        <v>142128.46383521901</v>
      </c>
      <c r="K963" t="str">
        <f>IF(AND(data_tab[[#This Row],[Revenue]]="",data_tab[[#This Row],[Cost]]=""),"Remove",IF(OR(data_tab[[#This Row],[Revenue]]="",data_tab[[#This Row],[Cost]]=""),"Flag","Valid"))</f>
        <v>Valid</v>
      </c>
      <c r="L963" t="str">
        <f>IF((COUNTIFS(data_tab[Revenue],data_tab[[#This Row],[Revenue]],data_tab[Cost],data_tab[[#This Row],[Cost]]))&gt;1,"Duplicate","Unique")</f>
        <v>Unique</v>
      </c>
      <c r="M963">
        <f>data_tab[[#This Row],[Revenue]]-data_tab[[#This Row],[Cost]]</f>
        <v>29384.536164780991</v>
      </c>
      <c r="N963" t="str">
        <f>IF(data_tab[[#This Row],[Revenue]]&lt;0,"Return","Sale")</f>
        <v>Sale</v>
      </c>
    </row>
    <row r="964" spans="1:14" hidden="1">
      <c r="A964" s="1">
        <v>46133</v>
      </c>
      <c r="B964">
        <f>MONTH(data_tab[[#This Row],[Order Date]])</f>
        <v>4</v>
      </c>
      <c r="C964">
        <f>YEAR(data_tab[[#This Row],[Order Date]])</f>
        <v>2026</v>
      </c>
      <c r="D964" t="s">
        <v>20</v>
      </c>
      <c r="E964" t="s">
        <v>15</v>
      </c>
      <c r="F964" t="s">
        <v>21</v>
      </c>
      <c r="G964" t="s">
        <v>17</v>
      </c>
      <c r="H964">
        <v>4</v>
      </c>
      <c r="I964">
        <v>52764</v>
      </c>
      <c r="J964">
        <v>37177.830921689201</v>
      </c>
      <c r="K964" t="str">
        <f>IF(AND(data_tab[[#This Row],[Revenue]]="",data_tab[[#This Row],[Cost]]=""),"Remove",IF(OR(data_tab[[#This Row],[Revenue]]="",data_tab[[#This Row],[Cost]]=""),"Flag","Valid"))</f>
        <v>Valid</v>
      </c>
      <c r="L964" t="str">
        <f>IF((COUNTIFS(data_tab[Revenue],data_tab[[#This Row],[Revenue]],data_tab[Cost],data_tab[[#This Row],[Cost]]))&gt;1,"Duplicate","Unique")</f>
        <v>Unique</v>
      </c>
      <c r="M964">
        <f>data_tab[[#This Row],[Revenue]]-data_tab[[#This Row],[Cost]]</f>
        <v>15586.169078310799</v>
      </c>
      <c r="N964" t="str">
        <f>IF(data_tab[[#This Row],[Revenue]]&lt;0,"Return","Sale")</f>
        <v>Sale</v>
      </c>
    </row>
    <row r="965" spans="1:14" hidden="1">
      <c r="A965" s="1">
        <v>46097</v>
      </c>
      <c r="B965">
        <f>MONTH(data_tab[[#This Row],[Order Date]])</f>
        <v>3</v>
      </c>
      <c r="C965">
        <f>YEAR(data_tab[[#This Row],[Order Date]])</f>
        <v>2026</v>
      </c>
      <c r="D965" t="s">
        <v>29</v>
      </c>
      <c r="E965" t="s">
        <v>15</v>
      </c>
      <c r="F965" t="s">
        <v>16</v>
      </c>
      <c r="G965" t="s">
        <v>41</v>
      </c>
      <c r="H965">
        <v>5</v>
      </c>
      <c r="I965">
        <v>138180</v>
      </c>
      <c r="J965">
        <v>90415.086642568203</v>
      </c>
      <c r="K965" t="str">
        <f>IF(AND(data_tab[[#This Row],[Revenue]]="",data_tab[[#This Row],[Cost]]=""),"Remove",IF(OR(data_tab[[#This Row],[Revenue]]="",data_tab[[#This Row],[Cost]]=""),"Flag","Valid"))</f>
        <v>Valid</v>
      </c>
      <c r="L965" t="str">
        <f>IF((COUNTIFS(data_tab[Revenue],data_tab[[#This Row],[Revenue]],data_tab[Cost],data_tab[[#This Row],[Cost]]))&gt;1,"Duplicate","Unique")</f>
        <v>Unique</v>
      </c>
      <c r="M965">
        <f>data_tab[[#This Row],[Revenue]]-data_tab[[#This Row],[Cost]]</f>
        <v>47764.913357431797</v>
      </c>
      <c r="N965" t="str">
        <f>IF(data_tab[[#This Row],[Revenue]]&lt;0,"Return","Sale")</f>
        <v>Sale</v>
      </c>
    </row>
    <row r="966" spans="1:14" hidden="1">
      <c r="A966" s="1">
        <v>46205</v>
      </c>
      <c r="B966">
        <f>MONTH(data_tab[[#This Row],[Order Date]])</f>
        <v>7</v>
      </c>
      <c r="C966">
        <f>YEAR(data_tab[[#This Row],[Order Date]])</f>
        <v>2026</v>
      </c>
      <c r="D966" t="s">
        <v>29</v>
      </c>
      <c r="E966" t="s">
        <v>15</v>
      </c>
      <c r="F966" t="s">
        <v>24</v>
      </c>
      <c r="G966" t="s">
        <v>26</v>
      </c>
      <c r="H966">
        <v>7</v>
      </c>
      <c r="J966">
        <v>13951.6289844</v>
      </c>
      <c r="K966" t="str">
        <f>IF(AND(data_tab[[#This Row],[Revenue]]="",data_tab[[#This Row],[Cost]]=""),"Remove",IF(OR(data_tab[[#This Row],[Revenue]]="",data_tab[[#This Row],[Cost]]=""),"Flag","Valid"))</f>
        <v>Flag</v>
      </c>
      <c r="L966" t="str">
        <f>IF((COUNTIFS(data_tab[Revenue],data_tab[[#This Row],[Revenue]],data_tab[Cost],data_tab[[#This Row],[Cost]]))&gt;1,"Duplicate","Unique")</f>
        <v>Unique</v>
      </c>
      <c r="M966">
        <f>data_tab[[#This Row],[Revenue]]-data_tab[[#This Row],[Cost]]</f>
        <v>-13951.6289844</v>
      </c>
      <c r="N966" t="str">
        <f>IF(data_tab[[#This Row],[Revenue]]&lt;0,"Return","Sale")</f>
        <v>Sale</v>
      </c>
    </row>
    <row r="967" spans="1:14" hidden="1">
      <c r="A967" s="1">
        <v>46136</v>
      </c>
      <c r="B967">
        <f>MONTH(data_tab[[#This Row],[Order Date]])</f>
        <v>4</v>
      </c>
      <c r="C967">
        <f>YEAR(data_tab[[#This Row],[Order Date]])</f>
        <v>2026</v>
      </c>
      <c r="D967" t="s">
        <v>35</v>
      </c>
      <c r="E967" t="s">
        <v>32</v>
      </c>
      <c r="F967" t="s">
        <v>21</v>
      </c>
      <c r="G967" t="s">
        <v>33</v>
      </c>
      <c r="H967">
        <v>8</v>
      </c>
      <c r="I967">
        <v>161176</v>
      </c>
      <c r="J967">
        <v>81175.974035987601</v>
      </c>
      <c r="K967" t="str">
        <f>IF(AND(data_tab[[#This Row],[Revenue]]="",data_tab[[#This Row],[Cost]]=""),"Remove",IF(OR(data_tab[[#This Row],[Revenue]]="",data_tab[[#This Row],[Cost]]=""),"Flag","Valid"))</f>
        <v>Valid</v>
      </c>
      <c r="L967" t="str">
        <f>IF((COUNTIFS(data_tab[Revenue],data_tab[[#This Row],[Revenue]],data_tab[Cost],data_tab[[#This Row],[Cost]]))&gt;1,"Duplicate","Unique")</f>
        <v>Unique</v>
      </c>
      <c r="M967">
        <f>data_tab[[#This Row],[Revenue]]-data_tab[[#This Row],[Cost]]</f>
        <v>80000.025964012399</v>
      </c>
      <c r="N967" t="str">
        <f>IF(data_tab[[#This Row],[Revenue]]&lt;0,"Return","Sale")</f>
        <v>Sale</v>
      </c>
    </row>
    <row r="968" spans="1:14" hidden="1">
      <c r="A968" s="1">
        <v>46076</v>
      </c>
      <c r="B968">
        <f>MONTH(data_tab[[#This Row],[Order Date]])</f>
        <v>2</v>
      </c>
      <c r="C968">
        <f>YEAR(data_tab[[#This Row],[Order Date]])</f>
        <v>2026</v>
      </c>
      <c r="D968" t="s">
        <v>29</v>
      </c>
      <c r="E968" t="s">
        <v>15</v>
      </c>
      <c r="F968" t="s">
        <v>24</v>
      </c>
      <c r="G968" t="s">
        <v>17</v>
      </c>
      <c r="H968">
        <v>3</v>
      </c>
      <c r="I968">
        <v>75177</v>
      </c>
      <c r="J968">
        <v>57312.941648256703</v>
      </c>
      <c r="K968" t="str">
        <f>IF(AND(data_tab[[#This Row],[Revenue]]="",data_tab[[#This Row],[Cost]]=""),"Remove",IF(OR(data_tab[[#This Row],[Revenue]]="",data_tab[[#This Row],[Cost]]=""),"Flag","Valid"))</f>
        <v>Valid</v>
      </c>
      <c r="L968" t="str">
        <f>IF((COUNTIFS(data_tab[Revenue],data_tab[[#This Row],[Revenue]],data_tab[Cost],data_tab[[#This Row],[Cost]]))&gt;1,"Duplicate","Unique")</f>
        <v>Unique</v>
      </c>
      <c r="M968">
        <f>data_tab[[#This Row],[Revenue]]-data_tab[[#This Row],[Cost]]</f>
        <v>17864.058351743297</v>
      </c>
      <c r="N968" t="str">
        <f>IF(data_tab[[#This Row],[Revenue]]&lt;0,"Return","Sale")</f>
        <v>Sale</v>
      </c>
    </row>
    <row r="969" spans="1:14" hidden="1">
      <c r="A969" s="1">
        <v>46058</v>
      </c>
      <c r="B969">
        <f>MONTH(data_tab[[#This Row],[Order Date]])</f>
        <v>2</v>
      </c>
      <c r="C969">
        <f>YEAR(data_tab[[#This Row],[Order Date]])</f>
        <v>2026</v>
      </c>
      <c r="D969" t="s">
        <v>35</v>
      </c>
      <c r="E969" t="s">
        <v>32</v>
      </c>
      <c r="F969" t="s">
        <v>36</v>
      </c>
      <c r="G969" t="s">
        <v>39</v>
      </c>
      <c r="H969">
        <v>8</v>
      </c>
      <c r="I969">
        <v>213400</v>
      </c>
      <c r="J969">
        <v>188863.695624685</v>
      </c>
      <c r="K969" t="str">
        <f>IF(AND(data_tab[[#This Row],[Revenue]]="",data_tab[[#This Row],[Cost]]=""),"Remove",IF(OR(data_tab[[#This Row],[Revenue]]="",data_tab[[#This Row],[Cost]]=""),"Flag","Valid"))</f>
        <v>Valid</v>
      </c>
      <c r="L969" t="str">
        <f>IF((COUNTIFS(data_tab[Revenue],data_tab[[#This Row],[Revenue]],data_tab[Cost],data_tab[[#This Row],[Cost]]))&gt;1,"Duplicate","Unique")</f>
        <v>Unique</v>
      </c>
      <c r="M969">
        <f>data_tab[[#This Row],[Revenue]]-data_tab[[#This Row],[Cost]]</f>
        <v>24536.304375314998</v>
      </c>
      <c r="N969" t="str">
        <f>IF(data_tab[[#This Row],[Revenue]]&lt;0,"Return","Sale")</f>
        <v>Sale</v>
      </c>
    </row>
    <row r="970" spans="1:14">
      <c r="A970" s="1">
        <v>46152</v>
      </c>
      <c r="B970">
        <f>MONTH(data_tab[[#This Row],[Order Date]])</f>
        <v>5</v>
      </c>
      <c r="C970">
        <f>YEAR(data_tab[[#This Row],[Order Date]])</f>
        <v>2026</v>
      </c>
      <c r="D970" t="s">
        <v>31</v>
      </c>
      <c r="E970" t="s">
        <v>32</v>
      </c>
      <c r="F970" t="s">
        <v>16</v>
      </c>
      <c r="G970" t="s">
        <v>26</v>
      </c>
      <c r="H970">
        <v>10</v>
      </c>
      <c r="I970">
        <v>-248120</v>
      </c>
      <c r="J970">
        <v>182069.78354050999</v>
      </c>
      <c r="K970" t="str">
        <f>IF(AND(data_tab[[#This Row],[Revenue]]="",data_tab[[#This Row],[Cost]]=""),"Remove",IF(OR(data_tab[[#This Row],[Revenue]]="",data_tab[[#This Row],[Cost]]=""),"Flag","Valid"))</f>
        <v>Valid</v>
      </c>
      <c r="L970" t="str">
        <f>IF((COUNTIFS(data_tab[Revenue],data_tab[[#This Row],[Revenue]],data_tab[Cost],data_tab[[#This Row],[Cost]]))&gt;1,"Duplicate","Unique")</f>
        <v>Unique</v>
      </c>
      <c r="M970">
        <f>data_tab[[#This Row],[Revenue]]-data_tab[[#This Row],[Cost]]</f>
        <v>-430189.78354050999</v>
      </c>
      <c r="N970" t="str">
        <f>IF(data_tab[[#This Row],[Revenue]]&lt;0,"Return","Sale")</f>
        <v>Return</v>
      </c>
    </row>
    <row r="971" spans="1:14" hidden="1">
      <c r="A971" s="1">
        <v>46063</v>
      </c>
      <c r="B971">
        <f>MONTH(data_tab[[#This Row],[Order Date]])</f>
        <v>2</v>
      </c>
      <c r="C971">
        <f>YEAR(data_tab[[#This Row],[Order Date]])</f>
        <v>2026</v>
      </c>
      <c r="D971" t="s">
        <v>29</v>
      </c>
      <c r="E971" t="s">
        <v>15</v>
      </c>
      <c r="F971" t="s">
        <v>36</v>
      </c>
      <c r="G971" t="s">
        <v>37</v>
      </c>
      <c r="H971">
        <v>4</v>
      </c>
      <c r="I971">
        <v>70024</v>
      </c>
      <c r="J971">
        <v>37965.102805063703</v>
      </c>
      <c r="K971" t="str">
        <f>IF(AND(data_tab[[#This Row],[Revenue]]="",data_tab[[#This Row],[Cost]]=""),"Remove",IF(OR(data_tab[[#This Row],[Revenue]]="",data_tab[[#This Row],[Cost]]=""),"Flag","Valid"))</f>
        <v>Valid</v>
      </c>
      <c r="L971" t="str">
        <f>IF((COUNTIFS(data_tab[Revenue],data_tab[[#This Row],[Revenue]],data_tab[Cost],data_tab[[#This Row],[Cost]]))&gt;1,"Duplicate","Unique")</f>
        <v>Unique</v>
      </c>
      <c r="M971">
        <f>data_tab[[#This Row],[Revenue]]-data_tab[[#This Row],[Cost]]</f>
        <v>32058.897194936297</v>
      </c>
      <c r="N971" t="str">
        <f>IF(data_tab[[#This Row],[Revenue]]&lt;0,"Return","Sale")</f>
        <v>Sale</v>
      </c>
    </row>
    <row r="972" spans="1:14" hidden="1">
      <c r="A972" s="1">
        <v>46130</v>
      </c>
      <c r="B972">
        <f>MONTH(data_tab[[#This Row],[Order Date]])</f>
        <v>4</v>
      </c>
      <c r="C972">
        <f>YEAR(data_tab[[#This Row],[Order Date]])</f>
        <v>2026</v>
      </c>
      <c r="D972" t="s">
        <v>35</v>
      </c>
      <c r="E972" t="s">
        <v>32</v>
      </c>
      <c r="F972" t="s">
        <v>24</v>
      </c>
      <c r="G972" t="s">
        <v>39</v>
      </c>
      <c r="H972">
        <v>2</v>
      </c>
      <c r="I972">
        <v>61872</v>
      </c>
      <c r="J972">
        <v>49828.044736647702</v>
      </c>
      <c r="K972" t="str">
        <f>IF(AND(data_tab[[#This Row],[Revenue]]="",data_tab[[#This Row],[Cost]]=""),"Remove",IF(OR(data_tab[[#This Row],[Revenue]]="",data_tab[[#This Row],[Cost]]=""),"Flag","Valid"))</f>
        <v>Valid</v>
      </c>
      <c r="L972" t="str">
        <f>IF((COUNTIFS(data_tab[Revenue],data_tab[[#This Row],[Revenue]],data_tab[Cost],data_tab[[#This Row],[Cost]]))&gt;1,"Duplicate","Unique")</f>
        <v>Unique</v>
      </c>
      <c r="M972">
        <f>data_tab[[#This Row],[Revenue]]-data_tab[[#This Row],[Cost]]</f>
        <v>12043.955263352298</v>
      </c>
      <c r="N972" t="str">
        <f>IF(data_tab[[#This Row],[Revenue]]&lt;0,"Return","Sale")</f>
        <v>Sale</v>
      </c>
    </row>
    <row r="973" spans="1:14" hidden="1">
      <c r="A973" s="1">
        <v>46105</v>
      </c>
      <c r="B973">
        <f>MONTH(data_tab[[#This Row],[Order Date]])</f>
        <v>3</v>
      </c>
      <c r="C973">
        <f>YEAR(data_tab[[#This Row],[Order Date]])</f>
        <v>2026</v>
      </c>
      <c r="D973" t="s">
        <v>29</v>
      </c>
      <c r="E973" t="s">
        <v>15</v>
      </c>
      <c r="F973" t="s">
        <v>36</v>
      </c>
      <c r="G973" t="s">
        <v>17</v>
      </c>
      <c r="H973">
        <v>10</v>
      </c>
      <c r="I973">
        <v>384680</v>
      </c>
      <c r="J973">
        <v>223073.53598108501</v>
      </c>
      <c r="K973" t="str">
        <f>IF(AND(data_tab[[#This Row],[Revenue]]="",data_tab[[#This Row],[Cost]]=""),"Remove",IF(OR(data_tab[[#This Row],[Revenue]]="",data_tab[[#This Row],[Cost]]=""),"Flag","Valid"))</f>
        <v>Valid</v>
      </c>
      <c r="L973" t="str">
        <f>IF((COUNTIFS(data_tab[Revenue],data_tab[[#This Row],[Revenue]],data_tab[Cost],data_tab[[#This Row],[Cost]]))&gt;1,"Duplicate","Unique")</f>
        <v>Unique</v>
      </c>
      <c r="M973">
        <f>data_tab[[#This Row],[Revenue]]-data_tab[[#This Row],[Cost]]</f>
        <v>161606.46401891499</v>
      </c>
      <c r="N973" t="str">
        <f>IF(data_tab[[#This Row],[Revenue]]&lt;0,"Return","Sale")</f>
        <v>Sale</v>
      </c>
    </row>
    <row r="974" spans="1:14" hidden="1">
      <c r="A974" s="1">
        <v>46074</v>
      </c>
      <c r="B974">
        <f>MONTH(data_tab[[#This Row],[Order Date]])</f>
        <v>2</v>
      </c>
      <c r="C974">
        <f>YEAR(data_tab[[#This Row],[Order Date]])</f>
        <v>2026</v>
      </c>
      <c r="D974" t="s">
        <v>40</v>
      </c>
      <c r="E974" t="s">
        <v>15</v>
      </c>
      <c r="F974" t="s">
        <v>21</v>
      </c>
      <c r="G974" t="s">
        <v>39</v>
      </c>
      <c r="H974">
        <v>10</v>
      </c>
      <c r="I974">
        <v>35880</v>
      </c>
      <c r="J974">
        <v>26969.067997809601</v>
      </c>
      <c r="K974" t="str">
        <f>IF(AND(data_tab[[#This Row],[Revenue]]="",data_tab[[#This Row],[Cost]]=""),"Remove",IF(OR(data_tab[[#This Row],[Revenue]]="",data_tab[[#This Row],[Cost]]=""),"Flag","Valid"))</f>
        <v>Valid</v>
      </c>
      <c r="L974" t="str">
        <f>IF((COUNTIFS(data_tab[Revenue],data_tab[[#This Row],[Revenue]],data_tab[Cost],data_tab[[#This Row],[Cost]]))&gt;1,"Duplicate","Unique")</f>
        <v>Unique</v>
      </c>
      <c r="M974">
        <f>data_tab[[#This Row],[Revenue]]-data_tab[[#This Row],[Cost]]</f>
        <v>8910.9320021903986</v>
      </c>
      <c r="N974" t="str">
        <f>IF(data_tab[[#This Row],[Revenue]]&lt;0,"Return","Sale")</f>
        <v>Sale</v>
      </c>
    </row>
    <row r="975" spans="1:14" hidden="1">
      <c r="A975" s="1">
        <v>46024</v>
      </c>
      <c r="B975">
        <f>MONTH(data_tab[[#This Row],[Order Date]])</f>
        <v>1</v>
      </c>
      <c r="C975">
        <f>YEAR(data_tab[[#This Row],[Order Date]])</f>
        <v>2026</v>
      </c>
      <c r="D975" t="s">
        <v>40</v>
      </c>
      <c r="E975" t="s">
        <v>15</v>
      </c>
      <c r="F975" t="s">
        <v>24</v>
      </c>
      <c r="G975" t="s">
        <v>37</v>
      </c>
      <c r="H975">
        <v>3</v>
      </c>
      <c r="I975">
        <v>140157</v>
      </c>
      <c r="J975">
        <v>111003.061040602</v>
      </c>
      <c r="K975" t="str">
        <f>IF(AND(data_tab[[#This Row],[Revenue]]="",data_tab[[#This Row],[Cost]]=""),"Remove",IF(OR(data_tab[[#This Row],[Revenue]]="",data_tab[[#This Row],[Cost]]=""),"Flag","Valid"))</f>
        <v>Valid</v>
      </c>
      <c r="L975" t="str">
        <f>IF((COUNTIFS(data_tab[Revenue],data_tab[[#This Row],[Revenue]],data_tab[Cost],data_tab[[#This Row],[Cost]]))&gt;1,"Duplicate","Unique")</f>
        <v>Duplicate</v>
      </c>
      <c r="M975">
        <f>data_tab[[#This Row],[Revenue]]-data_tab[[#This Row],[Cost]]</f>
        <v>29153.938959398001</v>
      </c>
      <c r="N975" t="str">
        <f>IF(data_tab[[#This Row],[Revenue]]&lt;0,"Return","Sale")</f>
        <v>Sale</v>
      </c>
    </row>
    <row r="976" spans="1:14" hidden="1">
      <c r="A976" s="1">
        <v>46076</v>
      </c>
      <c r="B976">
        <f>MONTH(data_tab[[#This Row],[Order Date]])</f>
        <v>2</v>
      </c>
      <c r="C976">
        <f>YEAR(data_tab[[#This Row],[Order Date]])</f>
        <v>2026</v>
      </c>
      <c r="D976" t="s">
        <v>35</v>
      </c>
      <c r="E976" t="s">
        <v>32</v>
      </c>
      <c r="F976" t="s">
        <v>16</v>
      </c>
      <c r="G976" t="s">
        <v>26</v>
      </c>
      <c r="H976">
        <v>9</v>
      </c>
      <c r="I976">
        <v>99315</v>
      </c>
      <c r="J976">
        <v>81501.698307557293</v>
      </c>
      <c r="K976" t="str">
        <f>IF(AND(data_tab[[#This Row],[Revenue]]="",data_tab[[#This Row],[Cost]]=""),"Remove",IF(OR(data_tab[[#This Row],[Revenue]]="",data_tab[[#This Row],[Cost]]=""),"Flag","Valid"))</f>
        <v>Valid</v>
      </c>
      <c r="L976" t="str">
        <f>IF((COUNTIFS(data_tab[Revenue],data_tab[[#This Row],[Revenue]],data_tab[Cost],data_tab[[#This Row],[Cost]]))&gt;1,"Duplicate","Unique")</f>
        <v>Duplicate</v>
      </c>
      <c r="M976">
        <f>data_tab[[#This Row],[Revenue]]-data_tab[[#This Row],[Cost]]</f>
        <v>17813.301692442707</v>
      </c>
      <c r="N976" t="str">
        <f>IF(data_tab[[#This Row],[Revenue]]&lt;0,"Return","Sale")</f>
        <v>Sale</v>
      </c>
    </row>
    <row r="977" spans="1:14">
      <c r="A977" s="1">
        <v>46168</v>
      </c>
      <c r="B977">
        <f>MONTH(data_tab[[#This Row],[Order Date]])</f>
        <v>5</v>
      </c>
      <c r="C977">
        <f>YEAR(data_tab[[#This Row],[Order Date]])</f>
        <v>2026</v>
      </c>
      <c r="D977" t="s">
        <v>23</v>
      </c>
      <c r="E977" t="s">
        <v>15</v>
      </c>
      <c r="F977" t="s">
        <v>16</v>
      </c>
      <c r="G977" t="s">
        <v>39</v>
      </c>
      <c r="H977">
        <v>2</v>
      </c>
      <c r="I977">
        <v>69366</v>
      </c>
      <c r="J977">
        <v>41080.584714302102</v>
      </c>
      <c r="K977" t="str">
        <f>IF(AND(data_tab[[#This Row],[Revenue]]="",data_tab[[#This Row],[Cost]]=""),"Remove",IF(OR(data_tab[[#This Row],[Revenue]]="",data_tab[[#This Row],[Cost]]=""),"Flag","Valid"))</f>
        <v>Valid</v>
      </c>
      <c r="L977" t="str">
        <f>IF((COUNTIFS(data_tab[Revenue],data_tab[[#This Row],[Revenue]],data_tab[Cost],data_tab[[#This Row],[Cost]]))&gt;1,"Duplicate","Unique")</f>
        <v>Unique</v>
      </c>
      <c r="M977">
        <f>data_tab[[#This Row],[Revenue]]-data_tab[[#This Row],[Cost]]</f>
        <v>28285.415285697898</v>
      </c>
      <c r="N977" t="str">
        <f>IF(data_tab[[#This Row],[Revenue]]&lt;0,"Return","Sale")</f>
        <v>Sale</v>
      </c>
    </row>
    <row r="978" spans="1:14" hidden="1">
      <c r="A978" s="1">
        <v>46097</v>
      </c>
      <c r="B978">
        <f>MONTH(data_tab[[#This Row],[Order Date]])</f>
        <v>3</v>
      </c>
      <c r="C978">
        <f>YEAR(data_tab[[#This Row],[Order Date]])</f>
        <v>2026</v>
      </c>
      <c r="D978" t="s">
        <v>14</v>
      </c>
      <c r="E978" t="s">
        <v>15</v>
      </c>
      <c r="F978" t="s">
        <v>16</v>
      </c>
      <c r="G978" t="s">
        <v>39</v>
      </c>
      <c r="H978">
        <v>3</v>
      </c>
      <c r="I978">
        <v>62634</v>
      </c>
      <c r="J978">
        <v>33190.436124870401</v>
      </c>
      <c r="K978" t="str">
        <f>IF(AND(data_tab[[#This Row],[Revenue]]="",data_tab[[#This Row],[Cost]]=""),"Remove",IF(OR(data_tab[[#This Row],[Revenue]]="",data_tab[[#This Row],[Cost]]=""),"Flag","Valid"))</f>
        <v>Valid</v>
      </c>
      <c r="L978" t="str">
        <f>IF((COUNTIFS(data_tab[Revenue],data_tab[[#This Row],[Revenue]],data_tab[Cost],data_tab[[#This Row],[Cost]]))&gt;1,"Duplicate","Unique")</f>
        <v>Unique</v>
      </c>
      <c r="M978">
        <f>data_tab[[#This Row],[Revenue]]-data_tab[[#This Row],[Cost]]</f>
        <v>29443.563875129599</v>
      </c>
      <c r="N978" t="str">
        <f>IF(data_tab[[#This Row],[Revenue]]&lt;0,"Return","Sale")</f>
        <v>Sale</v>
      </c>
    </row>
    <row r="979" spans="1:14">
      <c r="A979" s="1">
        <v>46151</v>
      </c>
      <c r="B979">
        <f>MONTH(data_tab[[#This Row],[Order Date]])</f>
        <v>5</v>
      </c>
      <c r="C979">
        <f>YEAR(data_tab[[#This Row],[Order Date]])</f>
        <v>2026</v>
      </c>
      <c r="D979" t="s">
        <v>40</v>
      </c>
      <c r="E979" t="s">
        <v>15</v>
      </c>
      <c r="F979" t="s">
        <v>24</v>
      </c>
      <c r="G979" t="s">
        <v>26</v>
      </c>
      <c r="H979">
        <v>8</v>
      </c>
      <c r="J979">
        <v>117172.09749464301</v>
      </c>
      <c r="K979" t="str">
        <f>IF(AND(data_tab[[#This Row],[Revenue]]="",data_tab[[#This Row],[Cost]]=""),"Remove",IF(OR(data_tab[[#This Row],[Revenue]]="",data_tab[[#This Row],[Cost]]=""),"Flag","Valid"))</f>
        <v>Flag</v>
      </c>
      <c r="L979" t="str">
        <f>IF((COUNTIFS(data_tab[Revenue],data_tab[[#This Row],[Revenue]],data_tab[Cost],data_tab[[#This Row],[Cost]]))&gt;1,"Duplicate","Unique")</f>
        <v>Unique</v>
      </c>
      <c r="M979">
        <f>data_tab[[#This Row],[Revenue]]-data_tab[[#This Row],[Cost]]</f>
        <v>-117172.09749464301</v>
      </c>
      <c r="N979" t="str">
        <f>IF(data_tab[[#This Row],[Revenue]]&lt;0,"Return","Sale")</f>
        <v>Sale</v>
      </c>
    </row>
    <row r="980" spans="1:14" hidden="1">
      <c r="A980" s="1">
        <v>46038</v>
      </c>
      <c r="B980">
        <f>MONTH(data_tab[[#This Row],[Order Date]])</f>
        <v>1</v>
      </c>
      <c r="C980">
        <f>YEAR(data_tab[[#This Row],[Order Date]])</f>
        <v>2026</v>
      </c>
      <c r="D980" t="s">
        <v>40</v>
      </c>
      <c r="E980" t="s">
        <v>15</v>
      </c>
      <c r="F980" t="s">
        <v>16</v>
      </c>
      <c r="G980" t="s">
        <v>41</v>
      </c>
      <c r="H980">
        <v>1</v>
      </c>
      <c r="I980">
        <v>17441</v>
      </c>
      <c r="J980">
        <v>12163.7378988196</v>
      </c>
      <c r="K980" t="str">
        <f>IF(AND(data_tab[[#This Row],[Revenue]]="",data_tab[[#This Row],[Cost]]=""),"Remove",IF(OR(data_tab[[#This Row],[Revenue]]="",data_tab[[#This Row],[Cost]]=""),"Flag","Valid"))</f>
        <v>Valid</v>
      </c>
      <c r="L980" t="str">
        <f>IF((COUNTIFS(data_tab[Revenue],data_tab[[#This Row],[Revenue]],data_tab[Cost],data_tab[[#This Row],[Cost]]))&gt;1,"Duplicate","Unique")</f>
        <v>Unique</v>
      </c>
      <c r="M980">
        <f>data_tab[[#This Row],[Revenue]]-data_tab[[#This Row],[Cost]]</f>
        <v>5277.2621011804004</v>
      </c>
      <c r="N980" t="str">
        <f>IF(data_tab[[#This Row],[Revenue]]&lt;0,"Return","Sale")</f>
        <v>Sale</v>
      </c>
    </row>
    <row r="981" spans="1:14" hidden="1">
      <c r="A981" s="1">
        <v>46032</v>
      </c>
      <c r="B981">
        <f>MONTH(data_tab[[#This Row],[Order Date]])</f>
        <v>1</v>
      </c>
      <c r="C981">
        <f>YEAR(data_tab[[#This Row],[Order Date]])</f>
        <v>2026</v>
      </c>
      <c r="D981" t="s">
        <v>29</v>
      </c>
      <c r="E981" t="s">
        <v>15</v>
      </c>
      <c r="F981" t="s">
        <v>24</v>
      </c>
      <c r="G981" t="s">
        <v>26</v>
      </c>
      <c r="H981">
        <v>8</v>
      </c>
      <c r="K981" t="str">
        <f>IF(AND(data_tab[[#This Row],[Revenue]]="",data_tab[[#This Row],[Cost]]=""),"Remove",IF(OR(data_tab[[#This Row],[Revenue]]="",data_tab[[#This Row],[Cost]]=""),"Flag","Valid"))</f>
        <v>Remove</v>
      </c>
      <c r="L981" t="str">
        <f>IF((COUNTIFS(data_tab[Revenue],data_tab[[#This Row],[Revenue]],data_tab[Cost],data_tab[[#This Row],[Cost]]))&gt;1,"Duplicate","Unique")</f>
        <v>Unique</v>
      </c>
      <c r="M981">
        <f>data_tab[[#This Row],[Revenue]]-data_tab[[#This Row],[Cost]]</f>
        <v>0</v>
      </c>
      <c r="N981" t="str">
        <f>IF(data_tab[[#This Row],[Revenue]]&lt;0,"Return","Sale")</f>
        <v>Sale</v>
      </c>
    </row>
    <row r="982" spans="1:14" hidden="1">
      <c r="A982" s="1">
        <v>46189</v>
      </c>
      <c r="B982">
        <f>MONTH(data_tab[[#This Row],[Order Date]])</f>
        <v>6</v>
      </c>
      <c r="C982">
        <f>YEAR(data_tab[[#This Row],[Order Date]])</f>
        <v>2026</v>
      </c>
      <c r="D982" t="s">
        <v>23</v>
      </c>
      <c r="E982" t="s">
        <v>15</v>
      </c>
      <c r="F982" t="s">
        <v>21</v>
      </c>
      <c r="G982" t="s">
        <v>39</v>
      </c>
      <c r="H982">
        <v>1</v>
      </c>
      <c r="I982">
        <v>3727</v>
      </c>
      <c r="J982">
        <v>3016.8026221717901</v>
      </c>
      <c r="K982" t="str">
        <f>IF(AND(data_tab[[#This Row],[Revenue]]="",data_tab[[#This Row],[Cost]]=""),"Remove",IF(OR(data_tab[[#This Row],[Revenue]]="",data_tab[[#This Row],[Cost]]=""),"Flag","Valid"))</f>
        <v>Valid</v>
      </c>
      <c r="L982" t="str">
        <f>IF((COUNTIFS(data_tab[Revenue],data_tab[[#This Row],[Revenue]],data_tab[Cost],data_tab[[#This Row],[Cost]]))&gt;1,"Duplicate","Unique")</f>
        <v>Unique</v>
      </c>
      <c r="M982">
        <f>data_tab[[#This Row],[Revenue]]-data_tab[[#This Row],[Cost]]</f>
        <v>710.19737782820994</v>
      </c>
      <c r="N982" t="str">
        <f>IF(data_tab[[#This Row],[Revenue]]&lt;0,"Return","Sale")</f>
        <v>Sale</v>
      </c>
    </row>
    <row r="983" spans="1:14" hidden="1">
      <c r="A983" s="1">
        <v>46197</v>
      </c>
      <c r="B983">
        <f>MONTH(data_tab[[#This Row],[Order Date]])</f>
        <v>6</v>
      </c>
      <c r="C983">
        <f>YEAR(data_tab[[#This Row],[Order Date]])</f>
        <v>2026</v>
      </c>
      <c r="D983" t="s">
        <v>29</v>
      </c>
      <c r="E983" t="s">
        <v>15</v>
      </c>
      <c r="F983" t="s">
        <v>24</v>
      </c>
      <c r="G983" t="s">
        <v>33</v>
      </c>
      <c r="H983">
        <v>7</v>
      </c>
      <c r="I983">
        <v>333032</v>
      </c>
      <c r="J983">
        <v>183199.22386624201</v>
      </c>
      <c r="K983" t="str">
        <f>IF(AND(data_tab[[#This Row],[Revenue]]="",data_tab[[#This Row],[Cost]]=""),"Remove",IF(OR(data_tab[[#This Row],[Revenue]]="",data_tab[[#This Row],[Cost]]=""),"Flag","Valid"))</f>
        <v>Valid</v>
      </c>
      <c r="L983" t="str">
        <f>IF((COUNTIFS(data_tab[Revenue],data_tab[[#This Row],[Revenue]],data_tab[Cost],data_tab[[#This Row],[Cost]]))&gt;1,"Duplicate","Unique")</f>
        <v>Unique</v>
      </c>
      <c r="M983">
        <f>data_tab[[#This Row],[Revenue]]-data_tab[[#This Row],[Cost]]</f>
        <v>149832.77613375799</v>
      </c>
      <c r="N983" t="str">
        <f>IF(data_tab[[#This Row],[Revenue]]&lt;0,"Return","Sale")</f>
        <v>Sale</v>
      </c>
    </row>
    <row r="984" spans="1:14" hidden="1">
      <c r="A984" s="1">
        <v>46053</v>
      </c>
      <c r="B984">
        <f>MONTH(data_tab[[#This Row],[Order Date]])</f>
        <v>1</v>
      </c>
      <c r="C984">
        <f>YEAR(data_tab[[#This Row],[Order Date]])</f>
        <v>2026</v>
      </c>
      <c r="D984" t="s">
        <v>35</v>
      </c>
      <c r="E984" t="s">
        <v>32</v>
      </c>
      <c r="F984" t="s">
        <v>16</v>
      </c>
      <c r="G984" t="s">
        <v>17</v>
      </c>
      <c r="H984">
        <v>6</v>
      </c>
      <c r="I984">
        <v>-183648</v>
      </c>
      <c r="J984">
        <v>159264.58403515001</v>
      </c>
      <c r="K984" t="str">
        <f>IF(AND(data_tab[[#This Row],[Revenue]]="",data_tab[[#This Row],[Cost]]=""),"Remove",IF(OR(data_tab[[#This Row],[Revenue]]="",data_tab[[#This Row],[Cost]]=""),"Flag","Valid"))</f>
        <v>Valid</v>
      </c>
      <c r="L984" t="str">
        <f>IF((COUNTIFS(data_tab[Revenue],data_tab[[#This Row],[Revenue]],data_tab[Cost],data_tab[[#This Row],[Cost]]))&gt;1,"Duplicate","Unique")</f>
        <v>Unique</v>
      </c>
      <c r="M984">
        <f>data_tab[[#This Row],[Revenue]]-data_tab[[#This Row],[Cost]]</f>
        <v>-342912.58403515001</v>
      </c>
      <c r="N984" t="str">
        <f>IF(data_tab[[#This Row],[Revenue]]&lt;0,"Return","Sale")</f>
        <v>Return</v>
      </c>
    </row>
    <row r="985" spans="1:14" hidden="1">
      <c r="A985" s="1">
        <v>46128</v>
      </c>
      <c r="B985">
        <f>MONTH(data_tab[[#This Row],[Order Date]])</f>
        <v>4</v>
      </c>
      <c r="C985">
        <f>YEAR(data_tab[[#This Row],[Order Date]])</f>
        <v>2026</v>
      </c>
      <c r="D985" t="s">
        <v>23</v>
      </c>
      <c r="E985" t="s">
        <v>15</v>
      </c>
      <c r="F985" t="s">
        <v>24</v>
      </c>
      <c r="G985" t="s">
        <v>39</v>
      </c>
      <c r="H985">
        <v>4</v>
      </c>
      <c r="I985">
        <v>22908</v>
      </c>
      <c r="J985">
        <v>12156.008107178901</v>
      </c>
      <c r="K985" t="str">
        <f>IF(AND(data_tab[[#This Row],[Revenue]]="",data_tab[[#This Row],[Cost]]=""),"Remove",IF(OR(data_tab[[#This Row],[Revenue]]="",data_tab[[#This Row],[Cost]]=""),"Flag","Valid"))</f>
        <v>Valid</v>
      </c>
      <c r="L985" t="str">
        <f>IF((COUNTIFS(data_tab[Revenue],data_tab[[#This Row],[Revenue]],data_tab[Cost],data_tab[[#This Row],[Cost]]))&gt;1,"Duplicate","Unique")</f>
        <v>Unique</v>
      </c>
      <c r="M985">
        <f>data_tab[[#This Row],[Revenue]]-data_tab[[#This Row],[Cost]]</f>
        <v>10751.991892821099</v>
      </c>
      <c r="N985" t="str">
        <f>IF(data_tab[[#This Row],[Revenue]]&lt;0,"Return","Sale")</f>
        <v>Sale</v>
      </c>
    </row>
    <row r="986" spans="1:14" hidden="1">
      <c r="A986" s="1">
        <v>46112</v>
      </c>
      <c r="B986">
        <f>MONTH(data_tab[[#This Row],[Order Date]])</f>
        <v>3</v>
      </c>
      <c r="C986">
        <f>YEAR(data_tab[[#This Row],[Order Date]])</f>
        <v>2026</v>
      </c>
      <c r="D986" t="s">
        <v>35</v>
      </c>
      <c r="E986" t="s">
        <v>32</v>
      </c>
      <c r="F986" t="s">
        <v>21</v>
      </c>
      <c r="G986" t="s">
        <v>26</v>
      </c>
      <c r="H986">
        <v>7</v>
      </c>
      <c r="I986">
        <v>233604</v>
      </c>
      <c r="J986">
        <v>178247.59086822101</v>
      </c>
      <c r="K986" t="str">
        <f>IF(AND(data_tab[[#This Row],[Revenue]]="",data_tab[[#This Row],[Cost]]=""),"Remove",IF(OR(data_tab[[#This Row],[Revenue]]="",data_tab[[#This Row],[Cost]]=""),"Flag","Valid"))</f>
        <v>Valid</v>
      </c>
      <c r="L986" t="str">
        <f>IF((COUNTIFS(data_tab[Revenue],data_tab[[#This Row],[Revenue]],data_tab[Cost],data_tab[[#This Row],[Cost]]))&gt;1,"Duplicate","Unique")</f>
        <v>Unique</v>
      </c>
      <c r="M986">
        <f>data_tab[[#This Row],[Revenue]]-data_tab[[#This Row],[Cost]]</f>
        <v>55356.409131778986</v>
      </c>
      <c r="N986" t="str">
        <f>IF(data_tab[[#This Row],[Revenue]]&lt;0,"Return","Sale")</f>
        <v>Sale</v>
      </c>
    </row>
    <row r="987" spans="1:14" hidden="1">
      <c r="A987" s="1">
        <v>46075</v>
      </c>
      <c r="B987">
        <f>MONTH(data_tab[[#This Row],[Order Date]])</f>
        <v>2</v>
      </c>
      <c r="C987">
        <f>YEAR(data_tab[[#This Row],[Order Date]])</f>
        <v>2026</v>
      </c>
      <c r="D987" t="s">
        <v>35</v>
      </c>
      <c r="E987" t="s">
        <v>32</v>
      </c>
      <c r="F987" t="s">
        <v>21</v>
      </c>
      <c r="G987" t="s">
        <v>33</v>
      </c>
      <c r="H987">
        <v>5</v>
      </c>
      <c r="I987">
        <v>130235</v>
      </c>
      <c r="J987">
        <v>105761.67667560899</v>
      </c>
      <c r="K987" t="str">
        <f>IF(AND(data_tab[[#This Row],[Revenue]]="",data_tab[[#This Row],[Cost]]=""),"Remove",IF(OR(data_tab[[#This Row],[Revenue]]="",data_tab[[#This Row],[Cost]]=""),"Flag","Valid"))</f>
        <v>Valid</v>
      </c>
      <c r="L987" t="str">
        <f>IF((COUNTIFS(data_tab[Revenue],data_tab[[#This Row],[Revenue]],data_tab[Cost],data_tab[[#This Row],[Cost]]))&gt;1,"Duplicate","Unique")</f>
        <v>Unique</v>
      </c>
      <c r="M987">
        <f>data_tab[[#This Row],[Revenue]]-data_tab[[#This Row],[Cost]]</f>
        <v>24473.323324391007</v>
      </c>
      <c r="N987" t="str">
        <f>IF(data_tab[[#This Row],[Revenue]]&lt;0,"Return","Sale")</f>
        <v>Sale</v>
      </c>
    </row>
    <row r="988" spans="1:14" hidden="1">
      <c r="A988" s="1">
        <v>46091</v>
      </c>
      <c r="B988">
        <f>MONTH(data_tab[[#This Row],[Order Date]])</f>
        <v>3</v>
      </c>
      <c r="C988">
        <f>YEAR(data_tab[[#This Row],[Order Date]])</f>
        <v>2026</v>
      </c>
      <c r="D988" t="s">
        <v>20</v>
      </c>
      <c r="E988" t="s">
        <v>15</v>
      </c>
      <c r="F988" t="s">
        <v>24</v>
      </c>
      <c r="G988" t="s">
        <v>37</v>
      </c>
      <c r="H988">
        <v>7</v>
      </c>
      <c r="I988">
        <v>337645</v>
      </c>
      <c r="J988">
        <v>297203.69947966002</v>
      </c>
      <c r="K988" t="str">
        <f>IF(AND(data_tab[[#This Row],[Revenue]]="",data_tab[[#This Row],[Cost]]=""),"Remove",IF(OR(data_tab[[#This Row],[Revenue]]="",data_tab[[#This Row],[Cost]]=""),"Flag","Valid"))</f>
        <v>Valid</v>
      </c>
      <c r="L988" t="str">
        <f>IF((COUNTIFS(data_tab[Revenue],data_tab[[#This Row],[Revenue]],data_tab[Cost],data_tab[[#This Row],[Cost]]))&gt;1,"Duplicate","Unique")</f>
        <v>Duplicate</v>
      </c>
      <c r="M988">
        <f>data_tab[[#This Row],[Revenue]]-data_tab[[#This Row],[Cost]]</f>
        <v>40441.300520339981</v>
      </c>
      <c r="N988" t="str">
        <f>IF(data_tab[[#This Row],[Revenue]]&lt;0,"Return","Sale")</f>
        <v>Sale</v>
      </c>
    </row>
    <row r="989" spans="1:14">
      <c r="A989" s="1">
        <v>46156</v>
      </c>
      <c r="B989">
        <f>MONTH(data_tab[[#This Row],[Order Date]])</f>
        <v>5</v>
      </c>
      <c r="C989">
        <f>YEAR(data_tab[[#This Row],[Order Date]])</f>
        <v>2026</v>
      </c>
      <c r="D989" t="s">
        <v>31</v>
      </c>
      <c r="E989" t="s">
        <v>32</v>
      </c>
      <c r="F989" t="s">
        <v>24</v>
      </c>
      <c r="G989" t="s">
        <v>37</v>
      </c>
      <c r="H989">
        <v>3</v>
      </c>
      <c r="I989">
        <v>13050</v>
      </c>
      <c r="J989">
        <v>11629.6886383537</v>
      </c>
      <c r="K989" t="str">
        <f>IF(AND(data_tab[[#This Row],[Revenue]]="",data_tab[[#This Row],[Cost]]=""),"Remove",IF(OR(data_tab[[#This Row],[Revenue]]="",data_tab[[#This Row],[Cost]]=""),"Flag","Valid"))</f>
        <v>Valid</v>
      </c>
      <c r="L989" t="str">
        <f>IF((COUNTIFS(data_tab[Revenue],data_tab[[#This Row],[Revenue]],data_tab[Cost],data_tab[[#This Row],[Cost]]))&gt;1,"Duplicate","Unique")</f>
        <v>Unique</v>
      </c>
      <c r="M989">
        <f>data_tab[[#This Row],[Revenue]]-data_tab[[#This Row],[Cost]]</f>
        <v>1420.3113616462997</v>
      </c>
      <c r="N989" t="str">
        <f>IF(data_tab[[#This Row],[Revenue]]&lt;0,"Return","Sale")</f>
        <v>Sale</v>
      </c>
    </row>
    <row r="990" spans="1:14" hidden="1">
      <c r="A990" s="1">
        <v>46052</v>
      </c>
      <c r="B990">
        <f>MONTH(data_tab[[#This Row],[Order Date]])</f>
        <v>1</v>
      </c>
      <c r="C990">
        <f>YEAR(data_tab[[#This Row],[Order Date]])</f>
        <v>2026</v>
      </c>
      <c r="D990" t="s">
        <v>23</v>
      </c>
      <c r="E990" t="s">
        <v>15</v>
      </c>
      <c r="F990" t="s">
        <v>24</v>
      </c>
      <c r="G990" t="s">
        <v>37</v>
      </c>
      <c r="H990">
        <v>5</v>
      </c>
      <c r="I990">
        <v>202750</v>
      </c>
      <c r="J990">
        <v>132531.727032091</v>
      </c>
      <c r="K990" t="str">
        <f>IF(AND(data_tab[[#This Row],[Revenue]]="",data_tab[[#This Row],[Cost]]=""),"Remove",IF(OR(data_tab[[#This Row],[Revenue]]="",data_tab[[#This Row],[Cost]]=""),"Flag","Valid"))</f>
        <v>Valid</v>
      </c>
      <c r="L990" t="str">
        <f>IF((COUNTIFS(data_tab[Revenue],data_tab[[#This Row],[Revenue]],data_tab[Cost],data_tab[[#This Row],[Cost]]))&gt;1,"Duplicate","Unique")</f>
        <v>Unique</v>
      </c>
      <c r="M990">
        <f>data_tab[[#This Row],[Revenue]]-data_tab[[#This Row],[Cost]]</f>
        <v>70218.272967908997</v>
      </c>
      <c r="N990" t="str">
        <f>IF(data_tab[[#This Row],[Revenue]]&lt;0,"Return","Sale")</f>
        <v>Sale</v>
      </c>
    </row>
    <row r="991" spans="1:14" hidden="1">
      <c r="A991" s="1">
        <v>46179</v>
      </c>
      <c r="B991">
        <f>MONTH(data_tab[[#This Row],[Order Date]])</f>
        <v>6</v>
      </c>
      <c r="C991">
        <f>YEAR(data_tab[[#This Row],[Order Date]])</f>
        <v>2026</v>
      </c>
      <c r="D991" t="s">
        <v>29</v>
      </c>
      <c r="E991" t="s">
        <v>15</v>
      </c>
      <c r="F991" t="s">
        <v>36</v>
      </c>
      <c r="G991" t="s">
        <v>33</v>
      </c>
      <c r="H991">
        <v>1</v>
      </c>
      <c r="I991">
        <v>16709</v>
      </c>
      <c r="J991">
        <v>9729.5178346013199</v>
      </c>
      <c r="K991" t="str">
        <f>IF(AND(data_tab[[#This Row],[Revenue]]="",data_tab[[#This Row],[Cost]]=""),"Remove",IF(OR(data_tab[[#This Row],[Revenue]]="",data_tab[[#This Row],[Cost]]=""),"Flag","Valid"))</f>
        <v>Valid</v>
      </c>
      <c r="L991" t="str">
        <f>IF((COUNTIFS(data_tab[Revenue],data_tab[[#This Row],[Revenue]],data_tab[Cost],data_tab[[#This Row],[Cost]]))&gt;1,"Duplicate","Unique")</f>
        <v>Unique</v>
      </c>
      <c r="M991">
        <f>data_tab[[#This Row],[Revenue]]-data_tab[[#This Row],[Cost]]</f>
        <v>6979.4821653986801</v>
      </c>
      <c r="N991" t="str">
        <f>IF(data_tab[[#This Row],[Revenue]]&lt;0,"Return","Sale")</f>
        <v>Sale</v>
      </c>
    </row>
    <row r="992" spans="1:14" hidden="1">
      <c r="A992" s="1">
        <v>46101</v>
      </c>
      <c r="B992">
        <f>MONTH(data_tab[[#This Row],[Order Date]])</f>
        <v>3</v>
      </c>
      <c r="C992">
        <f>YEAR(data_tab[[#This Row],[Order Date]])</f>
        <v>2026</v>
      </c>
      <c r="D992" t="s">
        <v>23</v>
      </c>
      <c r="E992" t="s">
        <v>15</v>
      </c>
      <c r="F992" t="s">
        <v>16</v>
      </c>
      <c r="G992" t="s">
        <v>39</v>
      </c>
      <c r="H992">
        <v>10</v>
      </c>
      <c r="I992">
        <v>240340</v>
      </c>
      <c r="J992">
        <v>208874.560565469</v>
      </c>
      <c r="K992" t="str">
        <f>IF(AND(data_tab[[#This Row],[Revenue]]="",data_tab[[#This Row],[Cost]]=""),"Remove",IF(OR(data_tab[[#This Row],[Revenue]]="",data_tab[[#This Row],[Cost]]=""),"Flag","Valid"))</f>
        <v>Valid</v>
      </c>
      <c r="L992" t="str">
        <f>IF((COUNTIFS(data_tab[Revenue],data_tab[[#This Row],[Revenue]],data_tab[Cost],data_tab[[#This Row],[Cost]]))&gt;1,"Duplicate","Unique")</f>
        <v>Unique</v>
      </c>
      <c r="M992">
        <f>data_tab[[#This Row],[Revenue]]-data_tab[[#This Row],[Cost]]</f>
        <v>31465.439434530999</v>
      </c>
      <c r="N992" t="str">
        <f>IF(data_tab[[#This Row],[Revenue]]&lt;0,"Return","Sale")</f>
        <v>Sale</v>
      </c>
    </row>
    <row r="993" spans="1:14" hidden="1">
      <c r="A993" s="1">
        <v>46030</v>
      </c>
      <c r="B993">
        <f>MONTH(data_tab[[#This Row],[Order Date]])</f>
        <v>1</v>
      </c>
      <c r="C993">
        <f>YEAR(data_tab[[#This Row],[Order Date]])</f>
        <v>2026</v>
      </c>
      <c r="D993" t="s">
        <v>29</v>
      </c>
      <c r="E993" t="s">
        <v>15</v>
      </c>
      <c r="F993" t="s">
        <v>36</v>
      </c>
      <c r="G993" t="s">
        <v>41</v>
      </c>
      <c r="H993">
        <v>1</v>
      </c>
      <c r="I993">
        <v>9157</v>
      </c>
      <c r="J993">
        <v>6605.1058579055298</v>
      </c>
      <c r="K993" t="str">
        <f>IF(AND(data_tab[[#This Row],[Revenue]]="",data_tab[[#This Row],[Cost]]=""),"Remove",IF(OR(data_tab[[#This Row],[Revenue]]="",data_tab[[#This Row],[Cost]]=""),"Flag","Valid"))</f>
        <v>Valid</v>
      </c>
      <c r="L993" t="str">
        <f>IF((COUNTIFS(data_tab[Revenue],data_tab[[#This Row],[Revenue]],data_tab[Cost],data_tab[[#This Row],[Cost]]))&gt;1,"Duplicate","Unique")</f>
        <v>Unique</v>
      </c>
      <c r="M993">
        <f>data_tab[[#This Row],[Revenue]]-data_tab[[#This Row],[Cost]]</f>
        <v>2551.8941420944702</v>
      </c>
      <c r="N993" t="str">
        <f>IF(data_tab[[#This Row],[Revenue]]&lt;0,"Return","Sale")</f>
        <v>Sale</v>
      </c>
    </row>
    <row r="994" spans="1:14">
      <c r="A994" s="1">
        <v>46159</v>
      </c>
      <c r="B994">
        <f>MONTH(data_tab[[#This Row],[Order Date]])</f>
        <v>5</v>
      </c>
      <c r="C994">
        <f>YEAR(data_tab[[#This Row],[Order Date]])</f>
        <v>2026</v>
      </c>
      <c r="D994" t="s">
        <v>40</v>
      </c>
      <c r="E994" t="s">
        <v>15</v>
      </c>
      <c r="F994" t="s">
        <v>16</v>
      </c>
      <c r="G994" t="s">
        <v>17</v>
      </c>
      <c r="H994">
        <v>7</v>
      </c>
      <c r="I994">
        <v>-228389</v>
      </c>
      <c r="J994">
        <v>182312.32960232699</v>
      </c>
      <c r="K994" t="str">
        <f>IF(AND(data_tab[[#This Row],[Revenue]]="",data_tab[[#This Row],[Cost]]=""),"Remove",IF(OR(data_tab[[#This Row],[Revenue]]="",data_tab[[#This Row],[Cost]]=""),"Flag","Valid"))</f>
        <v>Valid</v>
      </c>
      <c r="L994" t="str">
        <f>IF((COUNTIFS(data_tab[Revenue],data_tab[[#This Row],[Revenue]],data_tab[Cost],data_tab[[#This Row],[Cost]]))&gt;1,"Duplicate","Unique")</f>
        <v>Unique</v>
      </c>
      <c r="M994">
        <f>data_tab[[#This Row],[Revenue]]-data_tab[[#This Row],[Cost]]</f>
        <v>-410701.32960232696</v>
      </c>
      <c r="N994" t="str">
        <f>IF(data_tab[[#This Row],[Revenue]]&lt;0,"Return","Sale")</f>
        <v>Return</v>
      </c>
    </row>
    <row r="995" spans="1:14" hidden="1">
      <c r="A995" s="1">
        <v>46197</v>
      </c>
      <c r="B995">
        <f>MONTH(data_tab[[#This Row],[Order Date]])</f>
        <v>6</v>
      </c>
      <c r="C995">
        <f>YEAR(data_tab[[#This Row],[Order Date]])</f>
        <v>2026</v>
      </c>
      <c r="D995" t="s">
        <v>31</v>
      </c>
      <c r="E995" t="s">
        <v>32</v>
      </c>
      <c r="F995" t="s">
        <v>16</v>
      </c>
      <c r="G995" t="s">
        <v>37</v>
      </c>
      <c r="H995">
        <v>10</v>
      </c>
      <c r="I995">
        <v>278600</v>
      </c>
      <c r="J995">
        <v>143602.27589515201</v>
      </c>
      <c r="K995" t="str">
        <f>IF(AND(data_tab[[#This Row],[Revenue]]="",data_tab[[#This Row],[Cost]]=""),"Remove",IF(OR(data_tab[[#This Row],[Revenue]]="",data_tab[[#This Row],[Cost]]=""),"Flag","Valid"))</f>
        <v>Valid</v>
      </c>
      <c r="L995" t="str">
        <f>IF((COUNTIFS(data_tab[Revenue],data_tab[[#This Row],[Revenue]],data_tab[Cost],data_tab[[#This Row],[Cost]]))&gt;1,"Duplicate","Unique")</f>
        <v>Unique</v>
      </c>
      <c r="M995">
        <f>data_tab[[#This Row],[Revenue]]-data_tab[[#This Row],[Cost]]</f>
        <v>134997.72410484799</v>
      </c>
      <c r="N995" t="str">
        <f>IF(data_tab[[#This Row],[Revenue]]&lt;0,"Return","Sale")</f>
        <v>Sale</v>
      </c>
    </row>
    <row r="996" spans="1:14" hidden="1">
      <c r="A996" s="1">
        <v>46190</v>
      </c>
      <c r="B996">
        <f>MONTH(data_tab[[#This Row],[Order Date]])</f>
        <v>6</v>
      </c>
      <c r="C996">
        <f>YEAR(data_tab[[#This Row],[Order Date]])</f>
        <v>2026</v>
      </c>
      <c r="D996" t="s">
        <v>20</v>
      </c>
      <c r="E996" t="s">
        <v>15</v>
      </c>
      <c r="F996" t="s">
        <v>16</v>
      </c>
      <c r="G996" t="s">
        <v>26</v>
      </c>
      <c r="H996">
        <v>6</v>
      </c>
      <c r="I996">
        <v>-116010</v>
      </c>
      <c r="K996" t="str">
        <f>IF(AND(data_tab[[#This Row],[Revenue]]="",data_tab[[#This Row],[Cost]]=""),"Remove",IF(OR(data_tab[[#This Row],[Revenue]]="",data_tab[[#This Row],[Cost]]=""),"Flag","Valid"))</f>
        <v>Flag</v>
      </c>
      <c r="L996" t="str">
        <f>IF((COUNTIFS(data_tab[Revenue],data_tab[[#This Row],[Revenue]],data_tab[Cost],data_tab[[#This Row],[Cost]]))&gt;1,"Duplicate","Unique")</f>
        <v>Unique</v>
      </c>
      <c r="M996">
        <f>data_tab[[#This Row],[Revenue]]-data_tab[[#This Row],[Cost]]</f>
        <v>-116010</v>
      </c>
      <c r="N996" t="str">
        <f>IF(data_tab[[#This Row],[Revenue]]&lt;0,"Return","Sale")</f>
        <v>Return</v>
      </c>
    </row>
    <row r="997" spans="1:14" hidden="1">
      <c r="A997" s="1">
        <v>46032</v>
      </c>
      <c r="B997">
        <f>MONTH(data_tab[[#This Row],[Order Date]])</f>
        <v>1</v>
      </c>
      <c r="C997">
        <f>YEAR(data_tab[[#This Row],[Order Date]])</f>
        <v>2026</v>
      </c>
      <c r="D997" t="s">
        <v>23</v>
      </c>
      <c r="E997" t="s">
        <v>15</v>
      </c>
      <c r="F997" t="s">
        <v>21</v>
      </c>
      <c r="G997" t="s">
        <v>33</v>
      </c>
      <c r="H997">
        <v>1</v>
      </c>
      <c r="I997">
        <v>39982</v>
      </c>
      <c r="J997">
        <v>35005.588521607002</v>
      </c>
      <c r="K997" t="str">
        <f>IF(AND(data_tab[[#This Row],[Revenue]]="",data_tab[[#This Row],[Cost]]=""),"Remove",IF(OR(data_tab[[#This Row],[Revenue]]="",data_tab[[#This Row],[Cost]]=""),"Flag","Valid"))</f>
        <v>Valid</v>
      </c>
      <c r="L997" t="str">
        <f>IF((COUNTIFS(data_tab[Revenue],data_tab[[#This Row],[Revenue]],data_tab[Cost],data_tab[[#This Row],[Cost]]))&gt;1,"Duplicate","Unique")</f>
        <v>Unique</v>
      </c>
      <c r="M997">
        <f>data_tab[[#This Row],[Revenue]]-data_tab[[#This Row],[Cost]]</f>
        <v>4976.4114783929981</v>
      </c>
      <c r="N997" t="str">
        <f>IF(data_tab[[#This Row],[Revenue]]&lt;0,"Return","Sale")</f>
        <v>Sale</v>
      </c>
    </row>
    <row r="998" spans="1:14" hidden="1">
      <c r="A998" s="1">
        <v>46039</v>
      </c>
      <c r="B998">
        <f>MONTH(data_tab[[#This Row],[Order Date]])</f>
        <v>1</v>
      </c>
      <c r="C998">
        <f>YEAR(data_tab[[#This Row],[Order Date]])</f>
        <v>2026</v>
      </c>
      <c r="D998" t="s">
        <v>23</v>
      </c>
      <c r="E998" t="s">
        <v>15</v>
      </c>
      <c r="F998" t="s">
        <v>16</v>
      </c>
      <c r="G998" t="s">
        <v>37</v>
      </c>
      <c r="H998">
        <v>8</v>
      </c>
      <c r="I998">
        <v>82696</v>
      </c>
      <c r="J998">
        <v>48870.653974671499</v>
      </c>
      <c r="K998" t="str">
        <f>IF(AND(data_tab[[#This Row],[Revenue]]="",data_tab[[#This Row],[Cost]]=""),"Remove",IF(OR(data_tab[[#This Row],[Revenue]]="",data_tab[[#This Row],[Cost]]=""),"Flag","Valid"))</f>
        <v>Valid</v>
      </c>
      <c r="L998" t="str">
        <f>IF((COUNTIFS(data_tab[Revenue],data_tab[[#This Row],[Revenue]],data_tab[Cost],data_tab[[#This Row],[Cost]]))&gt;1,"Duplicate","Unique")</f>
        <v>Unique</v>
      </c>
      <c r="M998">
        <f>data_tab[[#This Row],[Revenue]]-data_tab[[#This Row],[Cost]]</f>
        <v>33825.346025328501</v>
      </c>
      <c r="N998" t="str">
        <f>IF(data_tab[[#This Row],[Revenue]]&lt;0,"Return","Sale")</f>
        <v>Sale</v>
      </c>
    </row>
    <row r="999" spans="1:14" hidden="1">
      <c r="A999" s="1">
        <v>46025</v>
      </c>
      <c r="B999">
        <f>MONTH(data_tab[[#This Row],[Order Date]])</f>
        <v>1</v>
      </c>
      <c r="C999">
        <f>YEAR(data_tab[[#This Row],[Order Date]])</f>
        <v>2026</v>
      </c>
      <c r="D999" t="s">
        <v>20</v>
      </c>
      <c r="E999" t="s">
        <v>15</v>
      </c>
      <c r="F999" t="s">
        <v>21</v>
      </c>
      <c r="G999" t="s">
        <v>41</v>
      </c>
      <c r="H999">
        <v>9</v>
      </c>
      <c r="J999">
        <v>203267.18849843999</v>
      </c>
      <c r="K999" t="str">
        <f>IF(AND(data_tab[[#This Row],[Revenue]]="",data_tab[[#This Row],[Cost]]=""),"Remove",IF(OR(data_tab[[#This Row],[Revenue]]="",data_tab[[#This Row],[Cost]]=""),"Flag","Valid"))</f>
        <v>Flag</v>
      </c>
      <c r="L999" t="str">
        <f>IF((COUNTIFS(data_tab[Revenue],data_tab[[#This Row],[Revenue]],data_tab[Cost],data_tab[[#This Row],[Cost]]))&gt;1,"Duplicate","Unique")</f>
        <v>Unique</v>
      </c>
      <c r="M999">
        <f>data_tab[[#This Row],[Revenue]]-data_tab[[#This Row],[Cost]]</f>
        <v>-203267.18849843999</v>
      </c>
      <c r="N999" t="str">
        <f>IF(data_tab[[#This Row],[Revenue]]&lt;0,"Return","Sale")</f>
        <v>Sale</v>
      </c>
    </row>
    <row r="1000" spans="1:14" hidden="1">
      <c r="A1000" s="1">
        <v>46089</v>
      </c>
      <c r="B1000">
        <f>MONTH(data_tab[[#This Row],[Order Date]])</f>
        <v>3</v>
      </c>
      <c r="C1000">
        <f>YEAR(data_tab[[#This Row],[Order Date]])</f>
        <v>2026</v>
      </c>
      <c r="D1000" t="s">
        <v>23</v>
      </c>
      <c r="E1000" t="s">
        <v>15</v>
      </c>
      <c r="F1000" t="s">
        <v>16</v>
      </c>
      <c r="G1000" t="s">
        <v>26</v>
      </c>
      <c r="H1000">
        <v>1</v>
      </c>
      <c r="I1000">
        <v>41359</v>
      </c>
      <c r="J1000">
        <v>24562.230977015101</v>
      </c>
      <c r="K1000" t="str">
        <f>IF(AND(data_tab[[#This Row],[Revenue]]="",data_tab[[#This Row],[Cost]]=""),"Remove",IF(OR(data_tab[[#This Row],[Revenue]]="",data_tab[[#This Row],[Cost]]=""),"Flag","Valid"))</f>
        <v>Valid</v>
      </c>
      <c r="L1000" t="str">
        <f>IF((COUNTIFS(data_tab[Revenue],data_tab[[#This Row],[Revenue]],data_tab[Cost],data_tab[[#This Row],[Cost]]))&gt;1,"Duplicate","Unique")</f>
        <v>Unique</v>
      </c>
      <c r="M1000">
        <f>data_tab[[#This Row],[Revenue]]-data_tab[[#This Row],[Cost]]</f>
        <v>16796.769022984899</v>
      </c>
      <c r="N1000" t="str">
        <f>IF(data_tab[[#This Row],[Revenue]]&lt;0,"Return","Sale")</f>
        <v>Sale</v>
      </c>
    </row>
    <row r="1001" spans="1:14" hidden="1">
      <c r="A1001" s="1">
        <v>46042</v>
      </c>
      <c r="B1001">
        <f>MONTH(data_tab[[#This Row],[Order Date]])</f>
        <v>1</v>
      </c>
      <c r="C1001">
        <f>YEAR(data_tab[[#This Row],[Order Date]])</f>
        <v>2026</v>
      </c>
      <c r="D1001" t="s">
        <v>35</v>
      </c>
      <c r="E1001" t="s">
        <v>32</v>
      </c>
      <c r="F1001" t="s">
        <v>36</v>
      </c>
      <c r="G1001" t="s">
        <v>39</v>
      </c>
      <c r="H1001">
        <v>7</v>
      </c>
      <c r="I1001">
        <v>143864</v>
      </c>
      <c r="J1001">
        <v>80165.594651057298</v>
      </c>
      <c r="K1001" t="str">
        <f>IF(AND(data_tab[[#This Row],[Revenue]]="",data_tab[[#This Row],[Cost]]=""),"Remove",IF(OR(data_tab[[#This Row],[Revenue]]="",data_tab[[#This Row],[Cost]]=""),"Flag","Valid"))</f>
        <v>Valid</v>
      </c>
      <c r="L1001" t="str">
        <f>IF((COUNTIFS(data_tab[Revenue],data_tab[[#This Row],[Revenue]],data_tab[Cost],data_tab[[#This Row],[Cost]]))&gt;1,"Duplicate","Unique")</f>
        <v>Unique</v>
      </c>
      <c r="M1001">
        <f>data_tab[[#This Row],[Revenue]]-data_tab[[#This Row],[Cost]]</f>
        <v>63698.405348942702</v>
      </c>
      <c r="N1001" t="str">
        <f>IF(data_tab[[#This Row],[Revenue]]&lt;0,"Return","Sale")</f>
        <v>Sale</v>
      </c>
    </row>
    <row r="1002" spans="1:14">
      <c r="A1002" s="1">
        <v>46157</v>
      </c>
      <c r="B1002">
        <f>MONTH(data_tab[[#This Row],[Order Date]])</f>
        <v>5</v>
      </c>
      <c r="C1002">
        <f>YEAR(data_tab[[#This Row],[Order Date]])</f>
        <v>2026</v>
      </c>
      <c r="D1002" t="s">
        <v>23</v>
      </c>
      <c r="E1002" t="s">
        <v>15</v>
      </c>
      <c r="F1002" t="s">
        <v>16</v>
      </c>
      <c r="G1002" t="s">
        <v>33</v>
      </c>
      <c r="H1002">
        <v>9</v>
      </c>
      <c r="I1002">
        <v>64143</v>
      </c>
      <c r="J1002">
        <v>45499.3699476088</v>
      </c>
      <c r="K1002" t="str">
        <f>IF(AND(data_tab[[#This Row],[Revenue]]="",data_tab[[#This Row],[Cost]]=""),"Remove",IF(OR(data_tab[[#This Row],[Revenue]]="",data_tab[[#This Row],[Cost]]=""),"Flag","Valid"))</f>
        <v>Valid</v>
      </c>
      <c r="L1002" t="str">
        <f>IF((COUNTIFS(data_tab[Revenue],data_tab[[#This Row],[Revenue]],data_tab[Cost],data_tab[[#This Row],[Cost]]))&gt;1,"Duplicate","Unique")</f>
        <v>Duplicate</v>
      </c>
      <c r="M1002">
        <f>data_tab[[#This Row],[Revenue]]-data_tab[[#This Row],[Cost]]</f>
        <v>18643.6300523912</v>
      </c>
      <c r="N1002" t="str">
        <f>IF(data_tab[[#This Row],[Revenue]]&lt;0,"Return","Sale")</f>
        <v>Sale</v>
      </c>
    </row>
    <row r="1003" spans="1:14" hidden="1">
      <c r="A1003" s="1">
        <v>46132</v>
      </c>
      <c r="B1003">
        <f>MONTH(data_tab[[#This Row],[Order Date]])</f>
        <v>4</v>
      </c>
      <c r="C1003">
        <f>YEAR(data_tab[[#This Row],[Order Date]])</f>
        <v>2026</v>
      </c>
      <c r="D1003" t="s">
        <v>35</v>
      </c>
      <c r="E1003" t="s">
        <v>32</v>
      </c>
      <c r="F1003" t="s">
        <v>36</v>
      </c>
      <c r="G1003" t="s">
        <v>37</v>
      </c>
      <c r="H1003">
        <v>5</v>
      </c>
      <c r="I1003">
        <v>135295</v>
      </c>
      <c r="J1003">
        <v>68985.199360234503</v>
      </c>
      <c r="K1003" t="str">
        <f>IF(AND(data_tab[[#This Row],[Revenue]]="",data_tab[[#This Row],[Cost]]=""),"Remove",IF(OR(data_tab[[#This Row],[Revenue]]="",data_tab[[#This Row],[Cost]]=""),"Flag","Valid"))</f>
        <v>Valid</v>
      </c>
      <c r="L1003" t="str">
        <f>IF((COUNTIFS(data_tab[Revenue],data_tab[[#This Row],[Revenue]],data_tab[Cost],data_tab[[#This Row],[Cost]]))&gt;1,"Duplicate","Unique")</f>
        <v>Duplicate</v>
      </c>
      <c r="M1003">
        <f>data_tab[[#This Row],[Revenue]]-data_tab[[#This Row],[Cost]]</f>
        <v>66309.800639765497</v>
      </c>
      <c r="N1003" t="str">
        <f>IF(data_tab[[#This Row],[Revenue]]&lt;0,"Return","Sale")</f>
        <v>Sale</v>
      </c>
    </row>
    <row r="1004" spans="1:14" hidden="1">
      <c r="A1004" s="1">
        <v>46025</v>
      </c>
      <c r="B1004">
        <f>MONTH(data_tab[[#This Row],[Order Date]])</f>
        <v>1</v>
      </c>
      <c r="C1004">
        <f>YEAR(data_tab[[#This Row],[Order Date]])</f>
        <v>2026</v>
      </c>
      <c r="D1004" t="s">
        <v>35</v>
      </c>
      <c r="E1004" t="s">
        <v>32</v>
      </c>
      <c r="F1004" t="s">
        <v>36</v>
      </c>
      <c r="G1004" t="s">
        <v>33</v>
      </c>
      <c r="H1004">
        <v>10</v>
      </c>
      <c r="I1004">
        <v>449460</v>
      </c>
      <c r="J1004">
        <v>226867.76127054301</v>
      </c>
      <c r="K1004" t="str">
        <f>IF(AND(data_tab[[#This Row],[Revenue]]="",data_tab[[#This Row],[Cost]]=""),"Remove",IF(OR(data_tab[[#This Row],[Revenue]]="",data_tab[[#This Row],[Cost]]=""),"Flag","Valid"))</f>
        <v>Valid</v>
      </c>
      <c r="L1004" t="str">
        <f>IF((COUNTIFS(data_tab[Revenue],data_tab[[#This Row],[Revenue]],data_tab[Cost],data_tab[[#This Row],[Cost]]))&gt;1,"Duplicate","Unique")</f>
        <v>Duplicate</v>
      </c>
      <c r="M1004">
        <f>data_tab[[#This Row],[Revenue]]-data_tab[[#This Row],[Cost]]</f>
        <v>222592.23872945699</v>
      </c>
      <c r="N1004" t="str">
        <f>IF(data_tab[[#This Row],[Revenue]]&lt;0,"Return","Sale")</f>
        <v>Sale</v>
      </c>
    </row>
    <row r="1005" spans="1:14" hidden="1">
      <c r="A1005" s="1">
        <v>46177</v>
      </c>
      <c r="B1005">
        <f>MONTH(data_tab[[#This Row],[Order Date]])</f>
        <v>6</v>
      </c>
      <c r="C1005">
        <f>YEAR(data_tab[[#This Row],[Order Date]])</f>
        <v>2026</v>
      </c>
      <c r="D1005" t="s">
        <v>29</v>
      </c>
      <c r="E1005" t="s">
        <v>15</v>
      </c>
      <c r="F1005" t="s">
        <v>24</v>
      </c>
      <c r="G1005" t="s">
        <v>39</v>
      </c>
      <c r="H1005">
        <v>7</v>
      </c>
      <c r="I1005">
        <v>67522</v>
      </c>
      <c r="J1005">
        <v>34120.341278022199</v>
      </c>
      <c r="K1005" t="str">
        <f>IF(AND(data_tab[[#This Row],[Revenue]]="",data_tab[[#This Row],[Cost]]=""),"Remove",IF(OR(data_tab[[#This Row],[Revenue]]="",data_tab[[#This Row],[Cost]]=""),"Flag","Valid"))</f>
        <v>Valid</v>
      </c>
      <c r="L1005" t="str">
        <f>IF((COUNTIFS(data_tab[Revenue],data_tab[[#This Row],[Revenue]],data_tab[Cost],data_tab[[#This Row],[Cost]]))&gt;1,"Duplicate","Unique")</f>
        <v>Duplicate</v>
      </c>
      <c r="M1005">
        <f>data_tab[[#This Row],[Revenue]]-data_tab[[#This Row],[Cost]]</f>
        <v>33401.658721977801</v>
      </c>
      <c r="N1005" t="str">
        <f>IF(data_tab[[#This Row],[Revenue]]&lt;0,"Return","Sale")</f>
        <v>Sale</v>
      </c>
    </row>
    <row r="1006" spans="1:14" hidden="1">
      <c r="A1006" s="1">
        <v>46031</v>
      </c>
      <c r="B1006">
        <f>MONTH(data_tab[[#This Row],[Order Date]])</f>
        <v>1</v>
      </c>
      <c r="C1006">
        <f>YEAR(data_tab[[#This Row],[Order Date]])</f>
        <v>2026</v>
      </c>
      <c r="D1006" t="s">
        <v>14</v>
      </c>
      <c r="E1006" t="s">
        <v>15</v>
      </c>
      <c r="F1006" t="s">
        <v>21</v>
      </c>
      <c r="G1006" t="s">
        <v>33</v>
      </c>
      <c r="H1006">
        <v>2</v>
      </c>
      <c r="I1006">
        <v>95520</v>
      </c>
      <c r="K1006" t="str">
        <f>IF(AND(data_tab[[#This Row],[Revenue]]="",data_tab[[#This Row],[Cost]]=""),"Remove",IF(OR(data_tab[[#This Row],[Revenue]]="",data_tab[[#This Row],[Cost]]=""),"Flag","Valid"))</f>
        <v>Flag</v>
      </c>
      <c r="L1006" t="str">
        <f>IF((COUNTIFS(data_tab[Revenue],data_tab[[#This Row],[Revenue]],data_tab[Cost],data_tab[[#This Row],[Cost]]))&gt;1,"Duplicate","Unique")</f>
        <v>Unique</v>
      </c>
      <c r="M1006">
        <f>data_tab[[#This Row],[Revenue]]-data_tab[[#This Row],[Cost]]</f>
        <v>95520</v>
      </c>
      <c r="N1006" t="str">
        <f>IF(data_tab[[#This Row],[Revenue]]&lt;0,"Return","Sale")</f>
        <v>Sale</v>
      </c>
    </row>
    <row r="1007" spans="1:14" hidden="1">
      <c r="A1007" s="1">
        <v>46038</v>
      </c>
      <c r="B1007">
        <f>MONTH(data_tab[[#This Row],[Order Date]])</f>
        <v>1</v>
      </c>
      <c r="C1007">
        <f>YEAR(data_tab[[#This Row],[Order Date]])</f>
        <v>2026</v>
      </c>
      <c r="D1007" t="s">
        <v>14</v>
      </c>
      <c r="E1007" t="s">
        <v>15</v>
      </c>
      <c r="F1007" t="s">
        <v>21</v>
      </c>
      <c r="G1007" t="s">
        <v>26</v>
      </c>
      <c r="H1007">
        <v>1</v>
      </c>
      <c r="I1007">
        <v>43393</v>
      </c>
      <c r="J1007">
        <v>38707.373086804801</v>
      </c>
      <c r="K1007" t="str">
        <f>IF(AND(data_tab[[#This Row],[Revenue]]="",data_tab[[#This Row],[Cost]]=""),"Remove",IF(OR(data_tab[[#This Row],[Revenue]]="",data_tab[[#This Row],[Cost]]=""),"Flag","Valid"))</f>
        <v>Valid</v>
      </c>
      <c r="L1007" t="str">
        <f>IF((COUNTIFS(data_tab[Revenue],data_tab[[#This Row],[Revenue]],data_tab[Cost],data_tab[[#This Row],[Cost]]))&gt;1,"Duplicate","Unique")</f>
        <v>Duplicate</v>
      </c>
      <c r="M1007">
        <f>data_tab[[#This Row],[Revenue]]-data_tab[[#This Row],[Cost]]</f>
        <v>4685.6269131951994</v>
      </c>
      <c r="N1007" t="str">
        <f>IF(data_tab[[#This Row],[Revenue]]&lt;0,"Return","Sale")</f>
        <v>Sale</v>
      </c>
    </row>
    <row r="1008" spans="1:14" hidden="1">
      <c r="A1008" s="1">
        <v>46103</v>
      </c>
      <c r="B1008">
        <f>MONTH(data_tab[[#This Row],[Order Date]])</f>
        <v>3</v>
      </c>
      <c r="C1008">
        <f>YEAR(data_tab[[#This Row],[Order Date]])</f>
        <v>2026</v>
      </c>
      <c r="D1008" t="s">
        <v>29</v>
      </c>
      <c r="E1008" t="s">
        <v>15</v>
      </c>
      <c r="F1008" t="s">
        <v>21</v>
      </c>
      <c r="G1008" t="s">
        <v>33</v>
      </c>
      <c r="H1008">
        <v>4</v>
      </c>
      <c r="I1008">
        <v>45820</v>
      </c>
      <c r="J1008">
        <v>24867.687234597099</v>
      </c>
      <c r="K1008" t="str">
        <f>IF(AND(data_tab[[#This Row],[Revenue]]="",data_tab[[#This Row],[Cost]]=""),"Remove",IF(OR(data_tab[[#This Row],[Revenue]]="",data_tab[[#This Row],[Cost]]=""),"Flag","Valid"))</f>
        <v>Valid</v>
      </c>
      <c r="L1008" t="str">
        <f>IF((COUNTIFS(data_tab[Revenue],data_tab[[#This Row],[Revenue]],data_tab[Cost],data_tab[[#This Row],[Cost]]))&gt;1,"Duplicate","Unique")</f>
        <v>Duplicate</v>
      </c>
      <c r="M1008">
        <f>data_tab[[#This Row],[Revenue]]-data_tab[[#This Row],[Cost]]</f>
        <v>20952.312765402901</v>
      </c>
      <c r="N1008" t="str">
        <f>IF(data_tab[[#This Row],[Revenue]]&lt;0,"Return","Sale")</f>
        <v>Sale</v>
      </c>
    </row>
    <row r="1009" spans="1:14" hidden="1">
      <c r="A1009" s="1">
        <v>46185</v>
      </c>
      <c r="B1009">
        <f>MONTH(data_tab[[#This Row],[Order Date]])</f>
        <v>6</v>
      </c>
      <c r="C1009">
        <f>YEAR(data_tab[[#This Row],[Order Date]])</f>
        <v>2026</v>
      </c>
      <c r="D1009" t="s">
        <v>14</v>
      </c>
      <c r="E1009" t="s">
        <v>15</v>
      </c>
      <c r="F1009" t="s">
        <v>21</v>
      </c>
      <c r="G1009" t="s">
        <v>33</v>
      </c>
      <c r="H1009">
        <v>9</v>
      </c>
      <c r="I1009">
        <v>189927</v>
      </c>
      <c r="J1009">
        <v>124590.79468386099</v>
      </c>
      <c r="K1009" t="str">
        <f>IF(AND(data_tab[[#This Row],[Revenue]]="",data_tab[[#This Row],[Cost]]=""),"Remove",IF(OR(data_tab[[#This Row],[Revenue]]="",data_tab[[#This Row],[Cost]]=""),"Flag","Valid"))</f>
        <v>Valid</v>
      </c>
      <c r="L1009" t="str">
        <f>IF((COUNTIFS(data_tab[Revenue],data_tab[[#This Row],[Revenue]],data_tab[Cost],data_tab[[#This Row],[Cost]]))&gt;1,"Duplicate","Unique")</f>
        <v>Duplicate</v>
      </c>
      <c r="M1009">
        <f>data_tab[[#This Row],[Revenue]]-data_tab[[#This Row],[Cost]]</f>
        <v>65336.205316139007</v>
      </c>
      <c r="N1009" t="str">
        <f>IF(data_tab[[#This Row],[Revenue]]&lt;0,"Return","Sale")</f>
        <v>Sale</v>
      </c>
    </row>
    <row r="1010" spans="1:14">
      <c r="A1010" s="1">
        <v>46161</v>
      </c>
      <c r="B1010">
        <f>MONTH(data_tab[[#This Row],[Order Date]])</f>
        <v>5</v>
      </c>
      <c r="C1010">
        <f>YEAR(data_tab[[#This Row],[Order Date]])</f>
        <v>2026</v>
      </c>
      <c r="D1010" t="s">
        <v>14</v>
      </c>
      <c r="E1010" t="s">
        <v>15</v>
      </c>
      <c r="F1010" t="s">
        <v>24</v>
      </c>
      <c r="G1010" t="s">
        <v>17</v>
      </c>
      <c r="H1010">
        <v>3</v>
      </c>
      <c r="I1010">
        <v>100455</v>
      </c>
      <c r="J1010">
        <v>80752.630333963694</v>
      </c>
      <c r="K1010" t="str">
        <f>IF(AND(data_tab[[#This Row],[Revenue]]="",data_tab[[#This Row],[Cost]]=""),"Remove",IF(OR(data_tab[[#This Row],[Revenue]]="",data_tab[[#This Row],[Cost]]=""),"Flag","Valid"))</f>
        <v>Valid</v>
      </c>
      <c r="L1010" t="str">
        <f>IF((COUNTIFS(data_tab[Revenue],data_tab[[#This Row],[Revenue]],data_tab[Cost],data_tab[[#This Row],[Cost]]))&gt;1,"Duplicate","Unique")</f>
        <v>Duplicate</v>
      </c>
      <c r="M1010">
        <f>data_tab[[#This Row],[Revenue]]-data_tab[[#This Row],[Cost]]</f>
        <v>19702.369666036306</v>
      </c>
      <c r="N1010" t="str">
        <f>IF(data_tab[[#This Row],[Revenue]]&lt;0,"Return","Sale")</f>
        <v>Sale</v>
      </c>
    </row>
    <row r="1011" spans="1:14" hidden="1">
      <c r="A1011" s="1">
        <v>46078</v>
      </c>
      <c r="B1011">
        <f>MONTH(data_tab[[#This Row],[Order Date]])</f>
        <v>2</v>
      </c>
      <c r="C1011">
        <f>YEAR(data_tab[[#This Row],[Order Date]])</f>
        <v>2026</v>
      </c>
      <c r="D1011" t="s">
        <v>14</v>
      </c>
      <c r="E1011" t="s">
        <v>15</v>
      </c>
      <c r="F1011" t="s">
        <v>36</v>
      </c>
      <c r="G1011" t="s">
        <v>39</v>
      </c>
      <c r="H1011">
        <v>5</v>
      </c>
      <c r="J1011">
        <v>54516.759884927204</v>
      </c>
      <c r="K1011" t="str">
        <f>IF(AND(data_tab[[#This Row],[Revenue]]="",data_tab[[#This Row],[Cost]]=""),"Remove",IF(OR(data_tab[[#This Row],[Revenue]]="",data_tab[[#This Row],[Cost]]=""),"Flag","Valid"))</f>
        <v>Flag</v>
      </c>
      <c r="L1011" t="str">
        <f>IF((COUNTIFS(data_tab[Revenue],data_tab[[#This Row],[Revenue]],data_tab[Cost],data_tab[[#This Row],[Cost]]))&gt;1,"Duplicate","Unique")</f>
        <v>Unique</v>
      </c>
      <c r="M1011">
        <f>data_tab[[#This Row],[Revenue]]-data_tab[[#This Row],[Cost]]</f>
        <v>-54516.759884927204</v>
      </c>
      <c r="N1011" t="str">
        <f>IF(data_tab[[#This Row],[Revenue]]&lt;0,"Return","Sale")</f>
        <v>Sale</v>
      </c>
    </row>
    <row r="1012" spans="1:14" hidden="1">
      <c r="A1012" s="1">
        <v>46076</v>
      </c>
      <c r="B1012">
        <f>MONTH(data_tab[[#This Row],[Order Date]])</f>
        <v>2</v>
      </c>
      <c r="C1012">
        <f>YEAR(data_tab[[#This Row],[Order Date]])</f>
        <v>2026</v>
      </c>
      <c r="D1012" t="s">
        <v>31</v>
      </c>
      <c r="E1012" t="s">
        <v>32</v>
      </c>
      <c r="F1012" t="s">
        <v>21</v>
      </c>
      <c r="G1012" t="s">
        <v>39</v>
      </c>
      <c r="H1012">
        <v>9</v>
      </c>
      <c r="I1012">
        <v>281781</v>
      </c>
      <c r="J1012">
        <v>231118.23828671701</v>
      </c>
      <c r="K1012" t="str">
        <f>IF(AND(data_tab[[#This Row],[Revenue]]="",data_tab[[#This Row],[Cost]]=""),"Remove",IF(OR(data_tab[[#This Row],[Revenue]]="",data_tab[[#This Row],[Cost]]=""),"Flag","Valid"))</f>
        <v>Valid</v>
      </c>
      <c r="L1012" t="str">
        <f>IF((COUNTIFS(data_tab[Revenue],data_tab[[#This Row],[Revenue]],data_tab[Cost],data_tab[[#This Row],[Cost]]))&gt;1,"Duplicate","Unique")</f>
        <v>Duplicate</v>
      </c>
      <c r="M1012">
        <f>data_tab[[#This Row],[Revenue]]-data_tab[[#This Row],[Cost]]</f>
        <v>50662.761713282991</v>
      </c>
      <c r="N1012" t="str">
        <f>IF(data_tab[[#This Row],[Revenue]]&lt;0,"Return","Sale")</f>
        <v>Sale</v>
      </c>
    </row>
    <row r="1013" spans="1:14" hidden="1">
      <c r="A1013" s="1">
        <v>46203</v>
      </c>
      <c r="B1013">
        <f>MONTH(data_tab[[#This Row],[Order Date]])</f>
        <v>6</v>
      </c>
      <c r="C1013">
        <f>YEAR(data_tab[[#This Row],[Order Date]])</f>
        <v>2026</v>
      </c>
      <c r="D1013" t="s">
        <v>29</v>
      </c>
      <c r="E1013" t="s">
        <v>15</v>
      </c>
      <c r="F1013" t="s">
        <v>21</v>
      </c>
      <c r="G1013" t="s">
        <v>33</v>
      </c>
      <c r="H1013">
        <v>9</v>
      </c>
      <c r="I1013">
        <v>103311</v>
      </c>
      <c r="J1013">
        <v>67506.961845830505</v>
      </c>
      <c r="K1013" t="str">
        <f>IF(AND(data_tab[[#This Row],[Revenue]]="",data_tab[[#This Row],[Cost]]=""),"Remove",IF(OR(data_tab[[#This Row],[Revenue]]="",data_tab[[#This Row],[Cost]]=""),"Flag","Valid"))</f>
        <v>Valid</v>
      </c>
      <c r="L1013" t="str">
        <f>IF((COUNTIFS(data_tab[Revenue],data_tab[[#This Row],[Revenue]],data_tab[Cost],data_tab[[#This Row],[Cost]]))&gt;1,"Duplicate","Unique")</f>
        <v>Duplicate</v>
      </c>
      <c r="M1013">
        <f>data_tab[[#This Row],[Revenue]]-data_tab[[#This Row],[Cost]]</f>
        <v>35804.038154169495</v>
      </c>
      <c r="N1013" t="str">
        <f>IF(data_tab[[#This Row],[Revenue]]&lt;0,"Return","Sale")</f>
        <v>Sale</v>
      </c>
    </row>
    <row r="1014" spans="1:14" hidden="1">
      <c r="A1014" s="1">
        <v>46028</v>
      </c>
      <c r="B1014">
        <f>MONTH(data_tab[[#This Row],[Order Date]])</f>
        <v>1</v>
      </c>
      <c r="C1014">
        <f>YEAR(data_tab[[#This Row],[Order Date]])</f>
        <v>2026</v>
      </c>
      <c r="D1014" t="s">
        <v>14</v>
      </c>
      <c r="E1014" t="s">
        <v>15</v>
      </c>
      <c r="F1014" t="s">
        <v>21</v>
      </c>
      <c r="G1014" t="s">
        <v>39</v>
      </c>
      <c r="H1014">
        <v>8</v>
      </c>
      <c r="I1014">
        <v>119944</v>
      </c>
      <c r="K1014" t="str">
        <f>IF(AND(data_tab[[#This Row],[Revenue]]="",data_tab[[#This Row],[Cost]]=""),"Remove",IF(OR(data_tab[[#This Row],[Revenue]]="",data_tab[[#This Row],[Cost]]=""),"Flag","Valid"))</f>
        <v>Flag</v>
      </c>
      <c r="L1014" t="str">
        <f>IF((COUNTIFS(data_tab[Revenue],data_tab[[#This Row],[Revenue]],data_tab[Cost],data_tab[[#This Row],[Cost]]))&gt;1,"Duplicate","Unique")</f>
        <v>Unique</v>
      </c>
      <c r="M1014">
        <f>data_tab[[#This Row],[Revenue]]-data_tab[[#This Row],[Cost]]</f>
        <v>119944</v>
      </c>
      <c r="N1014" t="str">
        <f>IF(data_tab[[#This Row],[Revenue]]&lt;0,"Return","Sale")</f>
        <v>Sale</v>
      </c>
    </row>
    <row r="1015" spans="1:14" hidden="1">
      <c r="A1015" s="1">
        <v>46024</v>
      </c>
      <c r="B1015">
        <f>MONTH(data_tab[[#This Row],[Order Date]])</f>
        <v>1</v>
      </c>
      <c r="C1015">
        <f>YEAR(data_tab[[#This Row],[Order Date]])</f>
        <v>2026</v>
      </c>
      <c r="D1015" t="s">
        <v>40</v>
      </c>
      <c r="E1015" t="s">
        <v>15</v>
      </c>
      <c r="F1015" t="s">
        <v>24</v>
      </c>
      <c r="G1015" t="s">
        <v>37</v>
      </c>
      <c r="H1015">
        <v>3</v>
      </c>
      <c r="I1015">
        <v>140157</v>
      </c>
      <c r="J1015">
        <v>111003.061040602</v>
      </c>
      <c r="K1015" t="str">
        <f>IF(AND(data_tab[[#This Row],[Revenue]]="",data_tab[[#This Row],[Cost]]=""),"Remove",IF(OR(data_tab[[#This Row],[Revenue]]="",data_tab[[#This Row],[Cost]]=""),"Flag","Valid"))</f>
        <v>Valid</v>
      </c>
      <c r="L1015" t="str">
        <f>IF((COUNTIFS(data_tab[Revenue],data_tab[[#This Row],[Revenue]],data_tab[Cost],data_tab[[#This Row],[Cost]]))&gt;1,"Duplicate","Unique")</f>
        <v>Duplicate</v>
      </c>
      <c r="M1015">
        <f>data_tab[[#This Row],[Revenue]]-data_tab[[#This Row],[Cost]]</f>
        <v>29153.938959398001</v>
      </c>
      <c r="N1015" t="str">
        <f>IF(data_tab[[#This Row],[Revenue]]&lt;0,"Return","Sale")</f>
        <v>Sale</v>
      </c>
    </row>
    <row r="1016" spans="1:14" hidden="1">
      <c r="A1016" s="1">
        <v>46048</v>
      </c>
      <c r="B1016">
        <f>MONTH(data_tab[[#This Row],[Order Date]])</f>
        <v>1</v>
      </c>
      <c r="C1016">
        <f>YEAR(data_tab[[#This Row],[Order Date]])</f>
        <v>2026</v>
      </c>
      <c r="D1016" t="s">
        <v>14</v>
      </c>
      <c r="E1016" t="s">
        <v>15</v>
      </c>
      <c r="F1016" t="s">
        <v>36</v>
      </c>
      <c r="G1016" t="s">
        <v>33</v>
      </c>
      <c r="H1016">
        <v>7</v>
      </c>
      <c r="I1016">
        <v>60473</v>
      </c>
      <c r="J1016">
        <v>35555.422011237097</v>
      </c>
      <c r="K1016" t="str">
        <f>IF(AND(data_tab[[#This Row],[Revenue]]="",data_tab[[#This Row],[Cost]]=""),"Remove",IF(OR(data_tab[[#This Row],[Revenue]]="",data_tab[[#This Row],[Cost]]=""),"Flag","Valid"))</f>
        <v>Valid</v>
      </c>
      <c r="L1016" t="str">
        <f>IF((COUNTIFS(data_tab[Revenue],data_tab[[#This Row],[Revenue]],data_tab[Cost],data_tab[[#This Row],[Cost]]))&gt;1,"Duplicate","Unique")</f>
        <v>Duplicate</v>
      </c>
      <c r="M1016">
        <f>data_tab[[#This Row],[Revenue]]-data_tab[[#This Row],[Cost]]</f>
        <v>24917.577988762903</v>
      </c>
      <c r="N1016" t="str">
        <f>IF(data_tab[[#This Row],[Revenue]]&lt;0,"Return","Sale")</f>
        <v>Sale</v>
      </c>
    </row>
    <row r="1017" spans="1:14" hidden="1">
      <c r="A1017" s="1">
        <v>46054</v>
      </c>
      <c r="B1017">
        <f>MONTH(data_tab[[#This Row],[Order Date]])</f>
        <v>2</v>
      </c>
      <c r="C1017">
        <f>YEAR(data_tab[[#This Row],[Order Date]])</f>
        <v>2026</v>
      </c>
      <c r="D1017" t="s">
        <v>29</v>
      </c>
      <c r="E1017" t="s">
        <v>15</v>
      </c>
      <c r="F1017" t="s">
        <v>36</v>
      </c>
      <c r="G1017" t="s">
        <v>33</v>
      </c>
      <c r="H1017">
        <v>6</v>
      </c>
      <c r="I1017">
        <v>150492</v>
      </c>
      <c r="J1017">
        <v>125100.13860036399</v>
      </c>
      <c r="K1017" t="str">
        <f>IF(AND(data_tab[[#This Row],[Revenue]]="",data_tab[[#This Row],[Cost]]=""),"Remove",IF(OR(data_tab[[#This Row],[Revenue]]="",data_tab[[#This Row],[Cost]]=""),"Flag","Valid"))</f>
        <v>Valid</v>
      </c>
      <c r="L1017" t="str">
        <f>IF((COUNTIFS(data_tab[Revenue],data_tab[[#This Row],[Revenue]],data_tab[Cost],data_tab[[#This Row],[Cost]]))&gt;1,"Duplicate","Unique")</f>
        <v>Duplicate</v>
      </c>
      <c r="M1017">
        <f>data_tab[[#This Row],[Revenue]]-data_tab[[#This Row],[Cost]]</f>
        <v>25391.861399636007</v>
      </c>
      <c r="N1017" t="str">
        <f>IF(data_tab[[#This Row],[Revenue]]&lt;0,"Return","Sale")</f>
        <v>Sale</v>
      </c>
    </row>
    <row r="1018" spans="1:14" hidden="1">
      <c r="A1018" s="1">
        <v>46067</v>
      </c>
      <c r="B1018">
        <f>MONTH(data_tab[[#This Row],[Order Date]])</f>
        <v>2</v>
      </c>
      <c r="C1018">
        <f>YEAR(data_tab[[#This Row],[Order Date]])</f>
        <v>2026</v>
      </c>
      <c r="D1018" t="s">
        <v>35</v>
      </c>
      <c r="E1018" t="s">
        <v>32</v>
      </c>
      <c r="F1018" t="s">
        <v>16</v>
      </c>
      <c r="G1018" t="s">
        <v>33</v>
      </c>
      <c r="H1018">
        <v>3</v>
      </c>
      <c r="I1018">
        <v>12810</v>
      </c>
      <c r="J1018">
        <v>9551.6821045328707</v>
      </c>
      <c r="K1018" t="str">
        <f>IF(AND(data_tab[[#This Row],[Revenue]]="",data_tab[[#This Row],[Cost]]=""),"Remove",IF(OR(data_tab[[#This Row],[Revenue]]="",data_tab[[#This Row],[Cost]]=""),"Flag","Valid"))</f>
        <v>Valid</v>
      </c>
      <c r="L1018" t="str">
        <f>IF((COUNTIFS(data_tab[Revenue],data_tab[[#This Row],[Revenue]],data_tab[Cost],data_tab[[#This Row],[Cost]]))&gt;1,"Duplicate","Unique")</f>
        <v>Duplicate</v>
      </c>
      <c r="M1018">
        <f>data_tab[[#This Row],[Revenue]]-data_tab[[#This Row],[Cost]]</f>
        <v>3258.3178954671293</v>
      </c>
      <c r="N1018" t="str">
        <f>IF(data_tab[[#This Row],[Revenue]]&lt;0,"Return","Sale")</f>
        <v>Sale</v>
      </c>
    </row>
    <row r="1019" spans="1:14" hidden="1">
      <c r="A1019" s="1">
        <v>46197</v>
      </c>
      <c r="B1019">
        <f>MONTH(data_tab[[#This Row],[Order Date]])</f>
        <v>6</v>
      </c>
      <c r="C1019">
        <f>YEAR(data_tab[[#This Row],[Order Date]])</f>
        <v>2026</v>
      </c>
      <c r="D1019" t="s">
        <v>40</v>
      </c>
      <c r="E1019" t="s">
        <v>15</v>
      </c>
      <c r="F1019" t="s">
        <v>24</v>
      </c>
      <c r="G1019" t="s">
        <v>17</v>
      </c>
      <c r="H1019">
        <v>10</v>
      </c>
      <c r="I1019">
        <v>431420</v>
      </c>
      <c r="K1019" t="str">
        <f>IF(AND(data_tab[[#This Row],[Revenue]]="",data_tab[[#This Row],[Cost]]=""),"Remove",IF(OR(data_tab[[#This Row],[Revenue]]="",data_tab[[#This Row],[Cost]]=""),"Flag","Valid"))</f>
        <v>Flag</v>
      </c>
      <c r="L1019" t="str">
        <f>IF((COUNTIFS(data_tab[Revenue],data_tab[[#This Row],[Revenue]],data_tab[Cost],data_tab[[#This Row],[Cost]]))&gt;1,"Duplicate","Unique")</f>
        <v>Unique</v>
      </c>
      <c r="M1019">
        <f>data_tab[[#This Row],[Revenue]]-data_tab[[#This Row],[Cost]]</f>
        <v>431420</v>
      </c>
      <c r="N1019" t="str">
        <f>IF(data_tab[[#This Row],[Revenue]]&lt;0,"Return","Sale")</f>
        <v>Sale</v>
      </c>
    </row>
    <row r="1020" spans="1:14" hidden="1">
      <c r="A1020" s="1">
        <v>46076</v>
      </c>
      <c r="B1020">
        <f>MONTH(data_tab[[#This Row],[Order Date]])</f>
        <v>2</v>
      </c>
      <c r="C1020">
        <f>YEAR(data_tab[[#This Row],[Order Date]])</f>
        <v>2026</v>
      </c>
      <c r="D1020" t="s">
        <v>29</v>
      </c>
      <c r="E1020" t="s">
        <v>15</v>
      </c>
      <c r="F1020" t="s">
        <v>24</v>
      </c>
      <c r="G1020" t="s">
        <v>17</v>
      </c>
      <c r="H1020">
        <v>4</v>
      </c>
      <c r="I1020">
        <v>35756</v>
      </c>
      <c r="J1020">
        <v>22977.897243816598</v>
      </c>
      <c r="K1020" t="str">
        <f>IF(AND(data_tab[[#This Row],[Revenue]]="",data_tab[[#This Row],[Cost]]=""),"Remove",IF(OR(data_tab[[#This Row],[Revenue]]="",data_tab[[#This Row],[Cost]]=""),"Flag","Valid"))</f>
        <v>Valid</v>
      </c>
      <c r="L1020" t="str">
        <f>IF((COUNTIFS(data_tab[Revenue],data_tab[[#This Row],[Revenue]],data_tab[Cost],data_tab[[#This Row],[Cost]]))&gt;1,"Duplicate","Unique")</f>
        <v>Duplicate</v>
      </c>
      <c r="M1020">
        <f>data_tab[[#This Row],[Revenue]]-data_tab[[#This Row],[Cost]]</f>
        <v>12778.102756183402</v>
      </c>
      <c r="N1020" t="str">
        <f>IF(data_tab[[#This Row],[Revenue]]&lt;0,"Return","Sale")</f>
        <v>Sale</v>
      </c>
    </row>
    <row r="1021" spans="1:14">
      <c r="A1021" s="1">
        <v>46169</v>
      </c>
      <c r="B1021">
        <f>MONTH(data_tab[[#This Row],[Order Date]])</f>
        <v>5</v>
      </c>
      <c r="C1021">
        <f>YEAR(data_tab[[#This Row],[Order Date]])</f>
        <v>2026</v>
      </c>
      <c r="D1021" t="s">
        <v>14</v>
      </c>
      <c r="E1021" t="s">
        <v>15</v>
      </c>
      <c r="F1021" t="s">
        <v>21</v>
      </c>
      <c r="G1021" t="s">
        <v>41</v>
      </c>
      <c r="H1021">
        <v>9</v>
      </c>
      <c r="I1021">
        <v>394488</v>
      </c>
      <c r="J1021">
        <v>321096.98781986098</v>
      </c>
      <c r="K1021" t="str">
        <f>IF(AND(data_tab[[#This Row],[Revenue]]="",data_tab[[#This Row],[Cost]]=""),"Remove",IF(OR(data_tab[[#This Row],[Revenue]]="",data_tab[[#This Row],[Cost]]=""),"Flag","Valid"))</f>
        <v>Valid</v>
      </c>
      <c r="L1021" t="str">
        <f>IF((COUNTIFS(data_tab[Revenue],data_tab[[#This Row],[Revenue]],data_tab[Cost],data_tab[[#This Row],[Cost]]))&gt;1,"Duplicate","Unique")</f>
        <v>Duplicate</v>
      </c>
      <c r="M1021">
        <f>data_tab[[#This Row],[Revenue]]-data_tab[[#This Row],[Cost]]</f>
        <v>73391.01218013902</v>
      </c>
      <c r="N1021" t="str">
        <f>IF(data_tab[[#This Row],[Revenue]]&lt;0,"Return","Sale")</f>
        <v>Sale</v>
      </c>
    </row>
    <row r="1022" spans="1:14" hidden="1">
      <c r="A1022" s="1">
        <v>46297</v>
      </c>
      <c r="B1022">
        <f>MONTH(data_tab[[#This Row],[Order Date]])</f>
        <v>10</v>
      </c>
      <c r="C1022">
        <f>YEAR(data_tab[[#This Row],[Order Date]])</f>
        <v>2026</v>
      </c>
      <c r="D1022" t="s">
        <v>29</v>
      </c>
      <c r="E1022" t="s">
        <v>15</v>
      </c>
      <c r="F1022" t="s">
        <v>24</v>
      </c>
      <c r="G1022" t="s">
        <v>39</v>
      </c>
      <c r="H1022">
        <v>1</v>
      </c>
      <c r="I1022">
        <v>13758</v>
      </c>
      <c r="J1022">
        <v>11975.716897816599</v>
      </c>
      <c r="K1022" t="str">
        <f>IF(AND(data_tab[[#This Row],[Revenue]]="",data_tab[[#This Row],[Cost]]=""),"Remove",IF(OR(data_tab[[#This Row],[Revenue]]="",data_tab[[#This Row],[Cost]]=""),"Flag","Valid"))</f>
        <v>Valid</v>
      </c>
      <c r="L1022" t="str">
        <f>IF((COUNTIFS(data_tab[Revenue],data_tab[[#This Row],[Revenue]],data_tab[Cost],data_tab[[#This Row],[Cost]]))&gt;1,"Duplicate","Unique")</f>
        <v>Duplicate</v>
      </c>
      <c r="M1022">
        <f>data_tab[[#This Row],[Revenue]]-data_tab[[#This Row],[Cost]]</f>
        <v>1782.2831021834008</v>
      </c>
      <c r="N1022" t="str">
        <f>IF(data_tab[[#This Row],[Revenue]]&lt;0,"Return","Sale")</f>
        <v>Sale</v>
      </c>
    </row>
    <row r="1023" spans="1:14">
      <c r="A1023" s="1">
        <v>46169</v>
      </c>
      <c r="B1023">
        <f>MONTH(data_tab[[#This Row],[Order Date]])</f>
        <v>5</v>
      </c>
      <c r="C1023">
        <f>YEAR(data_tab[[#This Row],[Order Date]])</f>
        <v>2026</v>
      </c>
      <c r="D1023" t="s">
        <v>29</v>
      </c>
      <c r="E1023" t="s">
        <v>15</v>
      </c>
      <c r="F1023" t="s">
        <v>16</v>
      </c>
      <c r="G1023" t="s">
        <v>17</v>
      </c>
      <c r="H1023">
        <v>5</v>
      </c>
      <c r="I1023">
        <v>23780</v>
      </c>
      <c r="J1023">
        <v>14625.939809433599</v>
      </c>
      <c r="K1023" t="str">
        <f>IF(AND(data_tab[[#This Row],[Revenue]]="",data_tab[[#This Row],[Cost]]=""),"Remove",IF(OR(data_tab[[#This Row],[Revenue]]="",data_tab[[#This Row],[Cost]]=""),"Flag","Valid"))</f>
        <v>Valid</v>
      </c>
      <c r="L1023" t="str">
        <f>IF((COUNTIFS(data_tab[Revenue],data_tab[[#This Row],[Revenue]],data_tab[Cost],data_tab[[#This Row],[Cost]]))&gt;1,"Duplicate","Unique")</f>
        <v>Duplicate</v>
      </c>
      <c r="M1023">
        <f>data_tab[[#This Row],[Revenue]]-data_tab[[#This Row],[Cost]]</f>
        <v>9154.0601905664007</v>
      </c>
      <c r="N1023" t="str">
        <f>IF(data_tab[[#This Row],[Revenue]]&lt;0,"Return","Sale")</f>
        <v>Sale</v>
      </c>
    </row>
    <row r="1024" spans="1:14">
      <c r="A1024" s="1">
        <v>46162</v>
      </c>
      <c r="B1024">
        <f>MONTH(data_tab[[#This Row],[Order Date]])</f>
        <v>5</v>
      </c>
      <c r="C1024">
        <f>YEAR(data_tab[[#This Row],[Order Date]])</f>
        <v>2026</v>
      </c>
      <c r="D1024" t="s">
        <v>35</v>
      </c>
      <c r="E1024" t="s">
        <v>32</v>
      </c>
      <c r="F1024" t="s">
        <v>16</v>
      </c>
      <c r="G1024" t="s">
        <v>39</v>
      </c>
      <c r="H1024">
        <v>9</v>
      </c>
      <c r="J1024">
        <v>192228.317510758</v>
      </c>
      <c r="K1024" t="str">
        <f>IF(AND(data_tab[[#This Row],[Revenue]]="",data_tab[[#This Row],[Cost]]=""),"Remove",IF(OR(data_tab[[#This Row],[Revenue]]="",data_tab[[#This Row],[Cost]]=""),"Flag","Valid"))</f>
        <v>Flag</v>
      </c>
      <c r="L1024" t="str">
        <f>IF((COUNTIFS(data_tab[Revenue],data_tab[[#This Row],[Revenue]],data_tab[Cost],data_tab[[#This Row],[Cost]]))&gt;1,"Duplicate","Unique")</f>
        <v>Unique</v>
      </c>
      <c r="M1024">
        <f>data_tab[[#This Row],[Revenue]]-data_tab[[#This Row],[Cost]]</f>
        <v>-192228.317510758</v>
      </c>
      <c r="N1024" t="str">
        <f>IF(data_tab[[#This Row],[Revenue]]&lt;0,"Return","Sale")</f>
        <v>Sale</v>
      </c>
    </row>
    <row r="1025" spans="1:14" hidden="1">
      <c r="A1025" s="1">
        <v>46031</v>
      </c>
      <c r="B1025">
        <f>MONTH(data_tab[[#This Row],[Order Date]])</f>
        <v>1</v>
      </c>
      <c r="C1025">
        <f>YEAR(data_tab[[#This Row],[Order Date]])</f>
        <v>2026</v>
      </c>
      <c r="D1025" t="s">
        <v>31</v>
      </c>
      <c r="E1025" t="s">
        <v>32</v>
      </c>
      <c r="F1025" t="s">
        <v>21</v>
      </c>
      <c r="G1025" t="s">
        <v>33</v>
      </c>
      <c r="H1025">
        <v>7</v>
      </c>
      <c r="I1025">
        <v>189777</v>
      </c>
      <c r="J1025">
        <v>112951.28046073701</v>
      </c>
      <c r="K1025" t="str">
        <f>IF(AND(data_tab[[#This Row],[Revenue]]="",data_tab[[#This Row],[Cost]]=""),"Remove",IF(OR(data_tab[[#This Row],[Revenue]]="",data_tab[[#This Row],[Cost]]=""),"Flag","Valid"))</f>
        <v>Valid</v>
      </c>
      <c r="L1025" t="str">
        <f>IF((COUNTIFS(data_tab[Revenue],data_tab[[#This Row],[Revenue]],data_tab[Cost],data_tab[[#This Row],[Cost]]))&gt;1,"Duplicate","Unique")</f>
        <v>Duplicate</v>
      </c>
      <c r="M1025">
        <f>data_tab[[#This Row],[Revenue]]-data_tab[[#This Row],[Cost]]</f>
        <v>76825.719539262995</v>
      </c>
      <c r="N1025" t="str">
        <f>IF(data_tab[[#This Row],[Revenue]]&lt;0,"Return","Sale")</f>
        <v>Sale</v>
      </c>
    </row>
    <row r="1026" spans="1:14" hidden="1">
      <c r="A1026" s="1">
        <v>46189</v>
      </c>
      <c r="B1026">
        <f>MONTH(data_tab[[#This Row],[Order Date]])</f>
        <v>6</v>
      </c>
      <c r="C1026">
        <f>YEAR(data_tab[[#This Row],[Order Date]])</f>
        <v>2026</v>
      </c>
      <c r="D1026" t="s">
        <v>29</v>
      </c>
      <c r="E1026" t="s">
        <v>15</v>
      </c>
      <c r="F1026" t="s">
        <v>36</v>
      </c>
      <c r="G1026" t="s">
        <v>26</v>
      </c>
      <c r="H1026">
        <v>8</v>
      </c>
      <c r="I1026">
        <v>45416</v>
      </c>
      <c r="J1026">
        <v>34275.420239773899</v>
      </c>
      <c r="K1026" t="str">
        <f>IF(AND(data_tab[[#This Row],[Revenue]]="",data_tab[[#This Row],[Cost]]=""),"Remove",IF(OR(data_tab[[#This Row],[Revenue]]="",data_tab[[#This Row],[Cost]]=""),"Flag","Valid"))</f>
        <v>Valid</v>
      </c>
      <c r="L1026" t="str">
        <f>IF((COUNTIFS(data_tab[Revenue],data_tab[[#This Row],[Revenue]],data_tab[Cost],data_tab[[#This Row],[Cost]]))&gt;1,"Duplicate","Unique")</f>
        <v>Duplicate</v>
      </c>
      <c r="M1026">
        <f>data_tab[[#This Row],[Revenue]]-data_tab[[#This Row],[Cost]]</f>
        <v>11140.579760226101</v>
      </c>
      <c r="N1026" t="str">
        <f>IF(data_tab[[#This Row],[Revenue]]&lt;0,"Return","Sale")</f>
        <v>Sale</v>
      </c>
    </row>
    <row r="1027" spans="1:14" hidden="1">
      <c r="A1027" s="1">
        <v>46195</v>
      </c>
      <c r="B1027">
        <f>MONTH(data_tab[[#This Row],[Order Date]])</f>
        <v>6</v>
      </c>
      <c r="C1027">
        <f>YEAR(data_tab[[#This Row],[Order Date]])</f>
        <v>2026</v>
      </c>
      <c r="D1027" t="s">
        <v>40</v>
      </c>
      <c r="E1027" t="s">
        <v>15</v>
      </c>
      <c r="F1027" t="s">
        <v>24</v>
      </c>
      <c r="G1027" t="s">
        <v>41</v>
      </c>
      <c r="H1027">
        <v>3</v>
      </c>
      <c r="I1027">
        <v>67572</v>
      </c>
      <c r="J1027">
        <v>36971.659037461301</v>
      </c>
      <c r="K1027" t="str">
        <f>IF(AND(data_tab[[#This Row],[Revenue]]="",data_tab[[#This Row],[Cost]]=""),"Remove",IF(OR(data_tab[[#This Row],[Revenue]]="",data_tab[[#This Row],[Cost]]=""),"Flag","Valid"))</f>
        <v>Valid</v>
      </c>
      <c r="L1027" t="str">
        <f>IF((COUNTIFS(data_tab[Revenue],data_tab[[#This Row],[Revenue]],data_tab[Cost],data_tab[[#This Row],[Cost]]))&gt;1,"Duplicate","Unique")</f>
        <v>Duplicate</v>
      </c>
      <c r="M1027">
        <f>data_tab[[#This Row],[Revenue]]-data_tab[[#This Row],[Cost]]</f>
        <v>30600.340962538699</v>
      </c>
      <c r="N1027" t="str">
        <f>IF(data_tab[[#This Row],[Revenue]]&lt;0,"Return","Sale")</f>
        <v>Sale</v>
      </c>
    </row>
    <row r="1028" spans="1:14" hidden="1">
      <c r="A1028" s="1">
        <v>46137</v>
      </c>
      <c r="B1028">
        <f>MONTH(data_tab[[#This Row],[Order Date]])</f>
        <v>4</v>
      </c>
      <c r="C1028">
        <f>YEAR(data_tab[[#This Row],[Order Date]])</f>
        <v>2026</v>
      </c>
      <c r="D1028" t="s">
        <v>20</v>
      </c>
      <c r="E1028" t="s">
        <v>15</v>
      </c>
      <c r="F1028" t="s">
        <v>36</v>
      </c>
      <c r="G1028" t="s">
        <v>26</v>
      </c>
      <c r="H1028">
        <v>4</v>
      </c>
      <c r="I1028">
        <v>169244</v>
      </c>
      <c r="J1028">
        <v>87557.708921985293</v>
      </c>
      <c r="K1028" t="str">
        <f>IF(AND(data_tab[[#This Row],[Revenue]]="",data_tab[[#This Row],[Cost]]=""),"Remove",IF(OR(data_tab[[#This Row],[Revenue]]="",data_tab[[#This Row],[Cost]]=""),"Flag","Valid"))</f>
        <v>Valid</v>
      </c>
      <c r="L1028" t="str">
        <f>IF((COUNTIFS(data_tab[Revenue],data_tab[[#This Row],[Revenue]],data_tab[Cost],data_tab[[#This Row],[Cost]]))&gt;1,"Duplicate","Unique")</f>
        <v>Duplicate</v>
      </c>
      <c r="M1028">
        <f>data_tab[[#This Row],[Revenue]]-data_tab[[#This Row],[Cost]]</f>
        <v>81686.291078014707</v>
      </c>
      <c r="N1028" t="str">
        <f>IF(data_tab[[#This Row],[Revenue]]&lt;0,"Return","Sale")</f>
        <v>Sale</v>
      </c>
    </row>
    <row r="1029" spans="1:14" hidden="1">
      <c r="A1029" s="1">
        <v>46091</v>
      </c>
      <c r="B1029">
        <f>MONTH(data_tab[[#This Row],[Order Date]])</f>
        <v>3</v>
      </c>
      <c r="C1029">
        <f>YEAR(data_tab[[#This Row],[Order Date]])</f>
        <v>2026</v>
      </c>
      <c r="D1029" t="s">
        <v>20</v>
      </c>
      <c r="E1029" t="s">
        <v>15</v>
      </c>
      <c r="F1029" t="s">
        <v>24</v>
      </c>
      <c r="G1029" t="s">
        <v>37</v>
      </c>
      <c r="H1029">
        <v>7</v>
      </c>
      <c r="I1029">
        <v>337645</v>
      </c>
      <c r="J1029">
        <v>297203.69947966002</v>
      </c>
      <c r="K1029" t="str">
        <f>IF(AND(data_tab[[#This Row],[Revenue]]="",data_tab[[#This Row],[Cost]]=""),"Remove",IF(OR(data_tab[[#This Row],[Revenue]]="",data_tab[[#This Row],[Cost]]=""),"Flag","Valid"))</f>
        <v>Valid</v>
      </c>
      <c r="L1029" t="str">
        <f>IF((COUNTIFS(data_tab[Revenue],data_tab[[#This Row],[Revenue]],data_tab[Cost],data_tab[[#This Row],[Cost]]))&gt;1,"Duplicate","Unique")</f>
        <v>Duplicate</v>
      </c>
      <c r="M1029">
        <f>data_tab[[#This Row],[Revenue]]-data_tab[[#This Row],[Cost]]</f>
        <v>40441.300520339981</v>
      </c>
      <c r="N1029" t="str">
        <f>IF(data_tab[[#This Row],[Revenue]]&lt;0,"Return","Sale")</f>
        <v>Sale</v>
      </c>
    </row>
    <row r="1030" spans="1:14" hidden="1">
      <c r="A1030" s="1">
        <v>46182</v>
      </c>
      <c r="B1030">
        <f>MONTH(data_tab[[#This Row],[Order Date]])</f>
        <v>6</v>
      </c>
      <c r="C1030">
        <f>YEAR(data_tab[[#This Row],[Order Date]])</f>
        <v>2026</v>
      </c>
      <c r="D1030" t="s">
        <v>29</v>
      </c>
      <c r="E1030" t="s">
        <v>15</v>
      </c>
      <c r="F1030" t="s">
        <v>24</v>
      </c>
      <c r="G1030" t="s">
        <v>41</v>
      </c>
      <c r="H1030">
        <v>5</v>
      </c>
      <c r="I1030">
        <v>147835</v>
      </c>
      <c r="J1030">
        <v>86446.287192357602</v>
      </c>
      <c r="K1030" t="str">
        <f>IF(AND(data_tab[[#This Row],[Revenue]]="",data_tab[[#This Row],[Cost]]=""),"Remove",IF(OR(data_tab[[#This Row],[Revenue]]="",data_tab[[#This Row],[Cost]]=""),"Flag","Valid"))</f>
        <v>Valid</v>
      </c>
      <c r="L1030" t="str">
        <f>IF((COUNTIFS(data_tab[Revenue],data_tab[[#This Row],[Revenue]],data_tab[Cost],data_tab[[#This Row],[Cost]]))&gt;1,"Duplicate","Unique")</f>
        <v>Duplicate</v>
      </c>
      <c r="M1030">
        <f>data_tab[[#This Row],[Revenue]]-data_tab[[#This Row],[Cost]]</f>
        <v>61388.712807642398</v>
      </c>
      <c r="N1030" t="str">
        <f>IF(data_tab[[#This Row],[Revenue]]&lt;0,"Return","Sale")</f>
        <v>Sale</v>
      </c>
    </row>
    <row r="1031" spans="1:14" hidden="1">
      <c r="A1031" s="1">
        <v>46093</v>
      </c>
      <c r="B1031">
        <f>MONTH(data_tab[[#This Row],[Order Date]])</f>
        <v>3</v>
      </c>
      <c r="C1031">
        <f>YEAR(data_tab[[#This Row],[Order Date]])</f>
        <v>2026</v>
      </c>
      <c r="D1031" t="s">
        <v>40</v>
      </c>
      <c r="E1031" t="s">
        <v>15</v>
      </c>
      <c r="F1031" t="s">
        <v>16</v>
      </c>
      <c r="G1031" t="s">
        <v>26</v>
      </c>
      <c r="H1031">
        <v>2</v>
      </c>
      <c r="I1031">
        <v>60814</v>
      </c>
      <c r="J1031">
        <v>49753.950103408199</v>
      </c>
      <c r="K1031" t="str">
        <f>IF(AND(data_tab[[#This Row],[Revenue]]="",data_tab[[#This Row],[Cost]]=""),"Remove",IF(OR(data_tab[[#This Row],[Revenue]]="",data_tab[[#This Row],[Cost]]=""),"Flag","Valid"))</f>
        <v>Valid</v>
      </c>
      <c r="L1031" t="str">
        <f>IF((COUNTIFS(data_tab[Revenue],data_tab[[#This Row],[Revenue]],data_tab[Cost],data_tab[[#This Row],[Cost]]))&gt;1,"Duplicate","Unique")</f>
        <v>Duplicate</v>
      </c>
      <c r="M1031">
        <f>data_tab[[#This Row],[Revenue]]-data_tab[[#This Row],[Cost]]</f>
        <v>11060.049896591801</v>
      </c>
      <c r="N1031" t="str">
        <f>IF(data_tab[[#This Row],[Revenue]]&lt;0,"Return","Sale")</f>
        <v>Sale</v>
      </c>
    </row>
    <row r="1032" spans="1:14" hidden="1">
      <c r="A1032" s="1">
        <v>46047</v>
      </c>
      <c r="B1032">
        <f>MONTH(data_tab[[#This Row],[Order Date]])</f>
        <v>1</v>
      </c>
      <c r="C1032">
        <f>YEAR(data_tab[[#This Row],[Order Date]])</f>
        <v>2026</v>
      </c>
      <c r="D1032" t="s">
        <v>35</v>
      </c>
      <c r="E1032" t="s">
        <v>32</v>
      </c>
      <c r="F1032" t="s">
        <v>16</v>
      </c>
      <c r="G1032" t="s">
        <v>41</v>
      </c>
      <c r="H1032">
        <v>5</v>
      </c>
      <c r="I1032">
        <v>189465</v>
      </c>
      <c r="K1032" t="str">
        <f>IF(AND(data_tab[[#This Row],[Revenue]]="",data_tab[[#This Row],[Cost]]=""),"Remove",IF(OR(data_tab[[#This Row],[Revenue]]="",data_tab[[#This Row],[Cost]]=""),"Flag","Valid"))</f>
        <v>Flag</v>
      </c>
      <c r="L1032" t="str">
        <f>IF((COUNTIFS(data_tab[Revenue],data_tab[[#This Row],[Revenue]],data_tab[Cost],data_tab[[#This Row],[Cost]]))&gt;1,"Duplicate","Unique")</f>
        <v>Unique</v>
      </c>
      <c r="M1032">
        <f>data_tab[[#This Row],[Revenue]]-data_tab[[#This Row],[Cost]]</f>
        <v>189465</v>
      </c>
      <c r="N1032" t="str">
        <f>IF(data_tab[[#This Row],[Revenue]]&lt;0,"Return","Sale")</f>
        <v>Sale</v>
      </c>
    </row>
    <row r="1033" spans="1:14">
      <c r="A1033" s="1">
        <v>46152</v>
      </c>
      <c r="B1033">
        <f>MONTH(data_tab[[#This Row],[Order Date]])</f>
        <v>5</v>
      </c>
      <c r="C1033">
        <f>YEAR(data_tab[[#This Row],[Order Date]])</f>
        <v>2026</v>
      </c>
      <c r="D1033" t="s">
        <v>29</v>
      </c>
      <c r="E1033" t="s">
        <v>15</v>
      </c>
      <c r="F1033" t="s">
        <v>24</v>
      </c>
      <c r="G1033" t="s">
        <v>41</v>
      </c>
      <c r="H1033">
        <v>7</v>
      </c>
      <c r="J1033">
        <v>111419.281425019</v>
      </c>
      <c r="K1033" t="str">
        <f>IF(AND(data_tab[[#This Row],[Revenue]]="",data_tab[[#This Row],[Cost]]=""),"Remove",IF(OR(data_tab[[#This Row],[Revenue]]="",data_tab[[#This Row],[Cost]]=""),"Flag","Valid"))</f>
        <v>Flag</v>
      </c>
      <c r="L1033" t="str">
        <f>IF((COUNTIFS(data_tab[Revenue],data_tab[[#This Row],[Revenue]],data_tab[Cost],data_tab[[#This Row],[Cost]]))&gt;1,"Duplicate","Unique")</f>
        <v>Unique</v>
      </c>
      <c r="M1033">
        <f>data_tab[[#This Row],[Revenue]]-data_tab[[#This Row],[Cost]]</f>
        <v>-111419.281425019</v>
      </c>
      <c r="N1033" t="str">
        <f>IF(data_tab[[#This Row],[Revenue]]&lt;0,"Return","Sale")</f>
        <v>Sale</v>
      </c>
    </row>
    <row r="1034" spans="1:14" hidden="1">
      <c r="A1034" s="1">
        <v>46128</v>
      </c>
      <c r="B1034">
        <f>MONTH(data_tab[[#This Row],[Order Date]])</f>
        <v>4</v>
      </c>
      <c r="C1034">
        <f>YEAR(data_tab[[#This Row],[Order Date]])</f>
        <v>2026</v>
      </c>
      <c r="D1034" t="s">
        <v>20</v>
      </c>
      <c r="E1034" t="s">
        <v>15</v>
      </c>
      <c r="F1034" t="s">
        <v>21</v>
      </c>
      <c r="G1034" t="s">
        <v>33</v>
      </c>
      <c r="H1034">
        <v>5</v>
      </c>
      <c r="I1034">
        <v>104055</v>
      </c>
      <c r="J1034">
        <v>78917.087329162896</v>
      </c>
      <c r="K1034" t="str">
        <f>IF(AND(data_tab[[#This Row],[Revenue]]="",data_tab[[#This Row],[Cost]]=""),"Remove",IF(OR(data_tab[[#This Row],[Revenue]]="",data_tab[[#This Row],[Cost]]=""),"Flag","Valid"))</f>
        <v>Valid</v>
      </c>
      <c r="L1034" t="str">
        <f>IF((COUNTIFS(data_tab[Revenue],data_tab[[#This Row],[Revenue]],data_tab[Cost],data_tab[[#This Row],[Cost]]))&gt;1,"Duplicate","Unique")</f>
        <v>Duplicate</v>
      </c>
      <c r="M1034">
        <f>data_tab[[#This Row],[Revenue]]-data_tab[[#This Row],[Cost]]</f>
        <v>25137.912670837104</v>
      </c>
      <c r="N1034" t="str">
        <f>IF(data_tab[[#This Row],[Revenue]]&lt;0,"Return","Sale")</f>
        <v>Sale</v>
      </c>
    </row>
    <row r="1035" spans="1:14" hidden="1">
      <c r="A1035" s="1">
        <v>46029</v>
      </c>
      <c r="B1035">
        <f>MONTH(data_tab[[#This Row],[Order Date]])</f>
        <v>1</v>
      </c>
      <c r="C1035">
        <f>YEAR(data_tab[[#This Row],[Order Date]])</f>
        <v>2026</v>
      </c>
      <c r="D1035" t="s">
        <v>31</v>
      </c>
      <c r="E1035" t="s">
        <v>32</v>
      </c>
      <c r="F1035" t="s">
        <v>21</v>
      </c>
      <c r="G1035" t="s">
        <v>37</v>
      </c>
      <c r="H1035">
        <v>8</v>
      </c>
      <c r="I1035">
        <v>290528</v>
      </c>
      <c r="J1035">
        <v>181331.15799341799</v>
      </c>
      <c r="K1035" t="str">
        <f>IF(AND(data_tab[[#This Row],[Revenue]]="",data_tab[[#This Row],[Cost]]=""),"Remove",IF(OR(data_tab[[#This Row],[Revenue]]="",data_tab[[#This Row],[Cost]]=""),"Flag","Valid"))</f>
        <v>Valid</v>
      </c>
      <c r="L1035" t="str">
        <f>IF((COUNTIFS(data_tab[Revenue],data_tab[[#This Row],[Revenue]],data_tab[Cost],data_tab[[#This Row],[Cost]]))&gt;1,"Duplicate","Unique")</f>
        <v>Duplicate</v>
      </c>
      <c r="M1035">
        <f>data_tab[[#This Row],[Revenue]]-data_tab[[#This Row],[Cost]]</f>
        <v>109196.84200658201</v>
      </c>
      <c r="N1035" t="str">
        <f>IF(data_tab[[#This Row],[Revenue]]&lt;0,"Return","Sale")</f>
        <v>Sale</v>
      </c>
    </row>
    <row r="1036" spans="1:14" hidden="1">
      <c r="A1036" s="1">
        <v>46198</v>
      </c>
      <c r="B1036">
        <f>MONTH(data_tab[[#This Row],[Order Date]])</f>
        <v>6</v>
      </c>
      <c r="C1036">
        <f>YEAR(data_tab[[#This Row],[Order Date]])</f>
        <v>2026</v>
      </c>
      <c r="D1036" t="s">
        <v>23</v>
      </c>
      <c r="E1036" t="s">
        <v>15</v>
      </c>
      <c r="F1036" t="s">
        <v>36</v>
      </c>
      <c r="G1036" t="s">
        <v>33</v>
      </c>
      <c r="H1036">
        <v>7</v>
      </c>
      <c r="I1036">
        <v>317107</v>
      </c>
      <c r="J1036">
        <v>162462.68745170999</v>
      </c>
      <c r="K1036" t="str">
        <f>IF(AND(data_tab[[#This Row],[Revenue]]="",data_tab[[#This Row],[Cost]]=""),"Remove",IF(OR(data_tab[[#This Row],[Revenue]]="",data_tab[[#This Row],[Cost]]=""),"Flag","Valid"))</f>
        <v>Valid</v>
      </c>
      <c r="L1036" t="str">
        <f>IF((COUNTIFS(data_tab[Revenue],data_tab[[#This Row],[Revenue]],data_tab[Cost],data_tab[[#This Row],[Cost]]))&gt;1,"Duplicate","Unique")</f>
        <v>Duplicate</v>
      </c>
      <c r="M1036">
        <f>data_tab[[#This Row],[Revenue]]-data_tab[[#This Row],[Cost]]</f>
        <v>154644.31254829001</v>
      </c>
      <c r="N1036" t="str">
        <f>IF(data_tab[[#This Row],[Revenue]]&lt;0,"Return","Sale")</f>
        <v>Sale</v>
      </c>
    </row>
    <row r="1037" spans="1:14" hidden="1">
      <c r="A1037" s="1">
        <v>46141</v>
      </c>
      <c r="B1037">
        <f>MONTH(data_tab[[#This Row],[Order Date]])</f>
        <v>4</v>
      </c>
      <c r="C1037">
        <f>YEAR(data_tab[[#This Row],[Order Date]])</f>
        <v>2026</v>
      </c>
      <c r="D1037" t="s">
        <v>29</v>
      </c>
      <c r="E1037" t="s">
        <v>15</v>
      </c>
      <c r="F1037" t="s">
        <v>21</v>
      </c>
      <c r="G1037" t="s">
        <v>33</v>
      </c>
      <c r="H1037">
        <v>4</v>
      </c>
      <c r="I1037">
        <v>74844</v>
      </c>
      <c r="J1037">
        <v>43509.4137796586</v>
      </c>
      <c r="K1037" t="str">
        <f>IF(AND(data_tab[[#This Row],[Revenue]]="",data_tab[[#This Row],[Cost]]=""),"Remove",IF(OR(data_tab[[#This Row],[Revenue]]="",data_tab[[#This Row],[Cost]]=""),"Flag","Valid"))</f>
        <v>Valid</v>
      </c>
      <c r="L1037" t="str">
        <f>IF((COUNTIFS(data_tab[Revenue],data_tab[[#This Row],[Revenue]],data_tab[Cost],data_tab[[#This Row],[Cost]]))&gt;1,"Duplicate","Unique")</f>
        <v>Duplicate</v>
      </c>
      <c r="M1037">
        <f>data_tab[[#This Row],[Revenue]]-data_tab[[#This Row],[Cost]]</f>
        <v>31334.5862203414</v>
      </c>
      <c r="N1037" t="str">
        <f>IF(data_tab[[#This Row],[Revenue]]&lt;0,"Return","Sale")</f>
        <v>Sale</v>
      </c>
    </row>
    <row r="1038" spans="1:14">
      <c r="A1038" s="1">
        <v>46150</v>
      </c>
      <c r="B1038">
        <f>MONTH(data_tab[[#This Row],[Order Date]])</f>
        <v>5</v>
      </c>
      <c r="C1038">
        <f>YEAR(data_tab[[#This Row],[Order Date]])</f>
        <v>2026</v>
      </c>
      <c r="D1038" t="s">
        <v>14</v>
      </c>
      <c r="E1038" t="s">
        <v>15</v>
      </c>
      <c r="F1038" t="s">
        <v>36</v>
      </c>
      <c r="G1038" t="s">
        <v>41</v>
      </c>
      <c r="H1038">
        <v>7</v>
      </c>
      <c r="I1038">
        <v>88704</v>
      </c>
      <c r="J1038">
        <v>49473.633468059299</v>
      </c>
      <c r="K1038" t="str">
        <f>IF(AND(data_tab[[#This Row],[Revenue]]="",data_tab[[#This Row],[Cost]]=""),"Remove",IF(OR(data_tab[[#This Row],[Revenue]]="",data_tab[[#This Row],[Cost]]=""),"Flag","Valid"))</f>
        <v>Valid</v>
      </c>
      <c r="L1038" t="str">
        <f>IF((COUNTIFS(data_tab[Revenue],data_tab[[#This Row],[Revenue]],data_tab[Cost],data_tab[[#This Row],[Cost]]))&gt;1,"Duplicate","Unique")</f>
        <v>Duplicate</v>
      </c>
      <c r="M1038">
        <f>data_tab[[#This Row],[Revenue]]-data_tab[[#This Row],[Cost]]</f>
        <v>39230.366531940701</v>
      </c>
      <c r="N1038" t="str">
        <f>IF(data_tab[[#This Row],[Revenue]]&lt;0,"Return","Sale")</f>
        <v>Sale</v>
      </c>
    </row>
    <row r="1039" spans="1:14" hidden="1">
      <c r="A1039" s="1">
        <v>46174</v>
      </c>
      <c r="B1039">
        <f>MONTH(data_tab[[#This Row],[Order Date]])</f>
        <v>6</v>
      </c>
      <c r="C1039">
        <f>YEAR(data_tab[[#This Row],[Order Date]])</f>
        <v>2026</v>
      </c>
      <c r="D1039" t="s">
        <v>29</v>
      </c>
      <c r="E1039" t="s">
        <v>15</v>
      </c>
      <c r="F1039" t="s">
        <v>16</v>
      </c>
      <c r="G1039" t="s">
        <v>33</v>
      </c>
      <c r="H1039">
        <v>3</v>
      </c>
      <c r="I1039">
        <v>115275</v>
      </c>
      <c r="J1039">
        <v>78945.851567085701</v>
      </c>
      <c r="K1039" t="str">
        <f>IF(AND(data_tab[[#This Row],[Revenue]]="",data_tab[[#This Row],[Cost]]=""),"Remove",IF(OR(data_tab[[#This Row],[Revenue]]="",data_tab[[#This Row],[Cost]]=""),"Flag","Valid"))</f>
        <v>Valid</v>
      </c>
      <c r="L1039" t="str">
        <f>IF((COUNTIFS(data_tab[Revenue],data_tab[[#This Row],[Revenue]],data_tab[Cost],data_tab[[#This Row],[Cost]]))&gt;1,"Duplicate","Unique")</f>
        <v>Duplicate</v>
      </c>
      <c r="M1039">
        <f>data_tab[[#This Row],[Revenue]]-data_tab[[#This Row],[Cost]]</f>
        <v>36329.148432914299</v>
      </c>
      <c r="N1039" t="str">
        <f>IF(data_tab[[#This Row],[Revenue]]&lt;0,"Return","Sale")</f>
        <v>Sale</v>
      </c>
    </row>
    <row r="1040" spans="1:14" hidden="1">
      <c r="A1040" s="1">
        <v>46202</v>
      </c>
      <c r="B1040">
        <f>MONTH(data_tab[[#This Row],[Order Date]])</f>
        <v>6</v>
      </c>
      <c r="C1040">
        <f>YEAR(data_tab[[#This Row],[Order Date]])</f>
        <v>2026</v>
      </c>
      <c r="D1040" t="s">
        <v>23</v>
      </c>
      <c r="E1040" t="s">
        <v>15</v>
      </c>
      <c r="F1040" t="s">
        <v>24</v>
      </c>
      <c r="G1040" t="s">
        <v>39</v>
      </c>
      <c r="H1040">
        <v>2</v>
      </c>
      <c r="I1040">
        <v>15748</v>
      </c>
      <c r="J1040">
        <v>11966.1151935657</v>
      </c>
      <c r="K1040" t="str">
        <f>IF(AND(data_tab[[#This Row],[Revenue]]="",data_tab[[#This Row],[Cost]]=""),"Remove",IF(OR(data_tab[[#This Row],[Revenue]]="",data_tab[[#This Row],[Cost]]=""),"Flag","Valid"))</f>
        <v>Valid</v>
      </c>
      <c r="L1040" t="str">
        <f>IF((COUNTIFS(data_tab[Revenue],data_tab[[#This Row],[Revenue]],data_tab[Cost],data_tab[[#This Row],[Cost]]))&gt;1,"Duplicate","Unique")</f>
        <v>Duplicate</v>
      </c>
      <c r="M1040">
        <f>data_tab[[#This Row],[Revenue]]-data_tab[[#This Row],[Cost]]</f>
        <v>3781.8848064343001</v>
      </c>
      <c r="N1040" t="str">
        <f>IF(data_tab[[#This Row],[Revenue]]&lt;0,"Return","Sale")</f>
        <v>Sale</v>
      </c>
    </row>
    <row r="1041" spans="1:14" hidden="1">
      <c r="A1041" s="1">
        <v>46117</v>
      </c>
      <c r="B1041">
        <f>MONTH(data_tab[[#This Row],[Order Date]])</f>
        <v>4</v>
      </c>
      <c r="C1041">
        <f>YEAR(data_tab[[#This Row],[Order Date]])</f>
        <v>2026</v>
      </c>
      <c r="D1041" t="s">
        <v>29</v>
      </c>
      <c r="E1041" t="s">
        <v>15</v>
      </c>
      <c r="F1041" t="s">
        <v>16</v>
      </c>
      <c r="G1041" t="s">
        <v>37</v>
      </c>
      <c r="H1041">
        <v>8</v>
      </c>
      <c r="I1041">
        <v>158032</v>
      </c>
      <c r="J1041">
        <v>98398.497827535306</v>
      </c>
      <c r="K1041" t="str">
        <f>IF(AND(data_tab[[#This Row],[Revenue]]="",data_tab[[#This Row],[Cost]]=""),"Remove",IF(OR(data_tab[[#This Row],[Revenue]]="",data_tab[[#This Row],[Cost]]=""),"Flag","Valid"))</f>
        <v>Valid</v>
      </c>
      <c r="L1041" t="str">
        <f>IF((COUNTIFS(data_tab[Revenue],data_tab[[#This Row],[Revenue]],data_tab[Cost],data_tab[[#This Row],[Cost]]))&gt;1,"Duplicate","Unique")</f>
        <v>Duplicate</v>
      </c>
      <c r="M1041">
        <f>data_tab[[#This Row],[Revenue]]-data_tab[[#This Row],[Cost]]</f>
        <v>59633.502172464694</v>
      </c>
      <c r="N1041" t="str">
        <f>IF(data_tab[[#This Row],[Revenue]]&lt;0,"Return","Sale")</f>
        <v>Sale</v>
      </c>
    </row>
    <row r="1042" spans="1:14" hidden="1">
      <c r="A1042" s="1">
        <v>46198</v>
      </c>
      <c r="B1042">
        <f>MONTH(data_tab[[#This Row],[Order Date]])</f>
        <v>6</v>
      </c>
      <c r="C1042">
        <f>YEAR(data_tab[[#This Row],[Order Date]])</f>
        <v>2026</v>
      </c>
      <c r="D1042" t="s">
        <v>29</v>
      </c>
      <c r="E1042" t="s">
        <v>15</v>
      </c>
      <c r="F1042" t="s">
        <v>16</v>
      </c>
      <c r="G1042" t="s">
        <v>17</v>
      </c>
      <c r="H1042">
        <v>3</v>
      </c>
      <c r="I1042">
        <v>85308</v>
      </c>
      <c r="J1042">
        <v>43306.597093313598</v>
      </c>
      <c r="K1042" t="str">
        <f>IF(AND(data_tab[[#This Row],[Revenue]]="",data_tab[[#This Row],[Cost]]=""),"Remove",IF(OR(data_tab[[#This Row],[Revenue]]="",data_tab[[#This Row],[Cost]]=""),"Flag","Valid"))</f>
        <v>Valid</v>
      </c>
      <c r="L1042" t="str">
        <f>IF((COUNTIFS(data_tab[Revenue],data_tab[[#This Row],[Revenue]],data_tab[Cost],data_tab[[#This Row],[Cost]]))&gt;1,"Duplicate","Unique")</f>
        <v>Duplicate</v>
      </c>
      <c r="M1042">
        <f>data_tab[[#This Row],[Revenue]]-data_tab[[#This Row],[Cost]]</f>
        <v>42001.402906686402</v>
      </c>
      <c r="N1042" t="str">
        <f>IF(data_tab[[#This Row],[Revenue]]&lt;0,"Return","Sale")</f>
        <v>Sale</v>
      </c>
    </row>
    <row r="1043" spans="1:14" hidden="1">
      <c r="A1043" s="1">
        <v>46094</v>
      </c>
      <c r="B1043">
        <f>MONTH(data_tab[[#This Row],[Order Date]])</f>
        <v>3</v>
      </c>
      <c r="C1043">
        <f>YEAR(data_tab[[#This Row],[Order Date]])</f>
        <v>2026</v>
      </c>
      <c r="D1043" t="s">
        <v>35</v>
      </c>
      <c r="E1043" t="s">
        <v>32</v>
      </c>
      <c r="F1043" t="s">
        <v>21</v>
      </c>
      <c r="G1043" t="s">
        <v>33</v>
      </c>
      <c r="H1043">
        <v>8</v>
      </c>
      <c r="I1043">
        <v>139784</v>
      </c>
      <c r="J1043">
        <v>117723.29992843101</v>
      </c>
      <c r="K1043" t="str">
        <f>IF(AND(data_tab[[#This Row],[Revenue]]="",data_tab[[#This Row],[Cost]]=""),"Remove",IF(OR(data_tab[[#This Row],[Revenue]]="",data_tab[[#This Row],[Cost]]=""),"Flag","Valid"))</f>
        <v>Valid</v>
      </c>
      <c r="L1043" t="str">
        <f>IF((COUNTIFS(data_tab[Revenue],data_tab[[#This Row],[Revenue]],data_tab[Cost],data_tab[[#This Row],[Cost]]))&gt;1,"Duplicate","Unique")</f>
        <v>Duplicate</v>
      </c>
      <c r="M1043">
        <f>data_tab[[#This Row],[Revenue]]-data_tab[[#This Row],[Cost]]</f>
        <v>22060.700071568994</v>
      </c>
      <c r="N1043" t="str">
        <f>IF(data_tab[[#This Row],[Revenue]]&lt;0,"Return","Sale")</f>
        <v>Sale</v>
      </c>
    </row>
    <row r="1044" spans="1:14" hidden="1">
      <c r="A1044" s="1">
        <v>46137</v>
      </c>
      <c r="B1044">
        <f>MONTH(data_tab[[#This Row],[Order Date]])</f>
        <v>4</v>
      </c>
      <c r="C1044">
        <f>YEAR(data_tab[[#This Row],[Order Date]])</f>
        <v>2026</v>
      </c>
      <c r="D1044" t="s">
        <v>23</v>
      </c>
      <c r="E1044" t="s">
        <v>15</v>
      </c>
      <c r="F1044" t="s">
        <v>36</v>
      </c>
      <c r="G1044" t="s">
        <v>26</v>
      </c>
      <c r="H1044">
        <v>9</v>
      </c>
      <c r="I1044">
        <v>224289</v>
      </c>
      <c r="J1044">
        <v>143029.00593014099</v>
      </c>
      <c r="K1044" t="str">
        <f>IF(AND(data_tab[[#This Row],[Revenue]]="",data_tab[[#This Row],[Cost]]=""),"Remove",IF(OR(data_tab[[#This Row],[Revenue]]="",data_tab[[#This Row],[Cost]]=""),"Flag","Valid"))</f>
        <v>Valid</v>
      </c>
      <c r="L1044" t="str">
        <f>IF((COUNTIFS(data_tab[Revenue],data_tab[[#This Row],[Revenue]],data_tab[Cost],data_tab[[#This Row],[Cost]]))&gt;1,"Duplicate","Unique")</f>
        <v>Duplicate</v>
      </c>
      <c r="M1044">
        <f>data_tab[[#This Row],[Revenue]]-data_tab[[#This Row],[Cost]]</f>
        <v>81259.994069859007</v>
      </c>
      <c r="N1044" t="str">
        <f>IF(data_tab[[#This Row],[Revenue]]&lt;0,"Return","Sale")</f>
        <v>Sale</v>
      </c>
    </row>
    <row r="1045" spans="1:14" hidden="1">
      <c r="A1045" s="1">
        <v>46076</v>
      </c>
      <c r="B1045">
        <f>MONTH(data_tab[[#This Row],[Order Date]])</f>
        <v>2</v>
      </c>
      <c r="C1045">
        <f>YEAR(data_tab[[#This Row],[Order Date]])</f>
        <v>2026</v>
      </c>
      <c r="D1045" t="s">
        <v>35</v>
      </c>
      <c r="E1045" t="s">
        <v>32</v>
      </c>
      <c r="F1045" t="s">
        <v>16</v>
      </c>
      <c r="G1045" t="s">
        <v>26</v>
      </c>
      <c r="H1045">
        <v>9</v>
      </c>
      <c r="I1045">
        <v>99315</v>
      </c>
      <c r="J1045">
        <v>81501.698307557293</v>
      </c>
      <c r="K1045" t="str">
        <f>IF(AND(data_tab[[#This Row],[Revenue]]="",data_tab[[#This Row],[Cost]]=""),"Remove",IF(OR(data_tab[[#This Row],[Revenue]]="",data_tab[[#This Row],[Cost]]=""),"Flag","Valid"))</f>
        <v>Valid</v>
      </c>
      <c r="L1045" t="str">
        <f>IF((COUNTIFS(data_tab[Revenue],data_tab[[#This Row],[Revenue]],data_tab[Cost],data_tab[[#This Row],[Cost]]))&gt;1,"Duplicate","Unique")</f>
        <v>Duplicate</v>
      </c>
      <c r="M1045">
        <f>data_tab[[#This Row],[Revenue]]-data_tab[[#This Row],[Cost]]</f>
        <v>17813.301692442707</v>
      </c>
      <c r="N1045" t="str">
        <f>IF(data_tab[[#This Row],[Revenue]]&lt;0,"Return","Sale")</f>
        <v>Sale</v>
      </c>
    </row>
    <row r="1046" spans="1:14" hidden="1">
      <c r="A1046" s="1">
        <v>46192</v>
      </c>
      <c r="B1046">
        <f>MONTH(data_tab[[#This Row],[Order Date]])</f>
        <v>6</v>
      </c>
      <c r="C1046">
        <f>YEAR(data_tab[[#This Row],[Order Date]])</f>
        <v>2026</v>
      </c>
      <c r="D1046" t="s">
        <v>29</v>
      </c>
      <c r="E1046" t="s">
        <v>15</v>
      </c>
      <c r="F1046" t="s">
        <v>21</v>
      </c>
      <c r="G1046" t="s">
        <v>37</v>
      </c>
      <c r="H1046">
        <v>7</v>
      </c>
      <c r="J1046">
        <v>105423.92645346301</v>
      </c>
      <c r="K1046" t="str">
        <f>IF(AND(data_tab[[#This Row],[Revenue]]="",data_tab[[#This Row],[Cost]]=""),"Remove",IF(OR(data_tab[[#This Row],[Revenue]]="",data_tab[[#This Row],[Cost]]=""),"Flag","Valid"))</f>
        <v>Flag</v>
      </c>
      <c r="L1046" t="str">
        <f>IF((COUNTIFS(data_tab[Revenue],data_tab[[#This Row],[Revenue]],data_tab[Cost],data_tab[[#This Row],[Cost]]))&gt;1,"Duplicate","Unique")</f>
        <v>Unique</v>
      </c>
      <c r="M1046">
        <f>data_tab[[#This Row],[Revenue]]-data_tab[[#This Row],[Cost]]</f>
        <v>-105423.92645346301</v>
      </c>
      <c r="N1046" t="str">
        <f>IF(data_tab[[#This Row],[Revenue]]&lt;0,"Return","Sale")</f>
        <v>Sale</v>
      </c>
    </row>
    <row r="1047" spans="1:14" hidden="1">
      <c r="A1047" s="1">
        <v>46049</v>
      </c>
      <c r="B1047">
        <f>MONTH(data_tab[[#This Row],[Order Date]])</f>
        <v>1</v>
      </c>
      <c r="C1047">
        <f>YEAR(data_tab[[#This Row],[Order Date]])</f>
        <v>2026</v>
      </c>
      <c r="D1047" t="s">
        <v>20</v>
      </c>
      <c r="E1047" t="s">
        <v>15</v>
      </c>
      <c r="F1047" t="s">
        <v>24</v>
      </c>
      <c r="G1047" t="s">
        <v>17</v>
      </c>
      <c r="H1047">
        <v>3</v>
      </c>
      <c r="I1047">
        <v>44952</v>
      </c>
      <c r="J1047">
        <v>37286.306943818701</v>
      </c>
      <c r="K1047" t="str">
        <f>IF(AND(data_tab[[#This Row],[Revenue]]="",data_tab[[#This Row],[Cost]]=""),"Remove",IF(OR(data_tab[[#This Row],[Revenue]]="",data_tab[[#This Row],[Cost]]=""),"Flag","Valid"))</f>
        <v>Valid</v>
      </c>
      <c r="L1047" t="str">
        <f>IF((COUNTIFS(data_tab[Revenue],data_tab[[#This Row],[Revenue]],data_tab[Cost],data_tab[[#This Row],[Cost]]))&gt;1,"Duplicate","Unique")</f>
        <v>Duplicate</v>
      </c>
      <c r="M1047">
        <f>data_tab[[#This Row],[Revenue]]-data_tab[[#This Row],[Cost]]</f>
        <v>7665.6930561812987</v>
      </c>
      <c r="N1047" t="str">
        <f>IF(data_tab[[#This Row],[Revenue]]&lt;0,"Return","Sale")</f>
        <v>Sale</v>
      </c>
    </row>
    <row r="1048" spans="1:14" hidden="1">
      <c r="A1048" s="1">
        <v>46141</v>
      </c>
      <c r="B1048">
        <f>MONTH(data_tab[[#This Row],[Order Date]])</f>
        <v>4</v>
      </c>
      <c r="C1048">
        <f>YEAR(data_tab[[#This Row],[Order Date]])</f>
        <v>2026</v>
      </c>
      <c r="D1048" t="s">
        <v>29</v>
      </c>
      <c r="E1048" t="s">
        <v>15</v>
      </c>
      <c r="F1048" t="s">
        <v>24</v>
      </c>
      <c r="G1048" t="s">
        <v>26</v>
      </c>
      <c r="H1048">
        <v>9</v>
      </c>
      <c r="J1048">
        <v>26075.735897320501</v>
      </c>
      <c r="K1048" t="str">
        <f>IF(AND(data_tab[[#This Row],[Revenue]]="",data_tab[[#This Row],[Cost]]=""),"Remove",IF(OR(data_tab[[#This Row],[Revenue]]="",data_tab[[#This Row],[Cost]]=""),"Flag","Valid"))</f>
        <v>Flag</v>
      </c>
      <c r="L1048" t="str">
        <f>IF((COUNTIFS(data_tab[Revenue],data_tab[[#This Row],[Revenue]],data_tab[Cost],data_tab[[#This Row],[Cost]]))&gt;1,"Duplicate","Unique")</f>
        <v>Unique</v>
      </c>
      <c r="M1048">
        <f>data_tab[[#This Row],[Revenue]]-data_tab[[#This Row],[Cost]]</f>
        <v>-26075.735897320501</v>
      </c>
      <c r="N1048" t="str">
        <f>IF(data_tab[[#This Row],[Revenue]]&lt;0,"Return","Sale")</f>
        <v>Sale</v>
      </c>
    </row>
    <row r="1049" spans="1:14" hidden="1">
      <c r="A1049" s="1">
        <v>46139</v>
      </c>
      <c r="B1049">
        <f>MONTH(data_tab[[#This Row],[Order Date]])</f>
        <v>4</v>
      </c>
      <c r="C1049">
        <f>YEAR(data_tab[[#This Row],[Order Date]])</f>
        <v>2026</v>
      </c>
      <c r="D1049" t="s">
        <v>23</v>
      </c>
      <c r="E1049" t="s">
        <v>15</v>
      </c>
      <c r="F1049" t="s">
        <v>36</v>
      </c>
      <c r="G1049" t="s">
        <v>17</v>
      </c>
      <c r="H1049">
        <v>9</v>
      </c>
      <c r="I1049">
        <v>258219</v>
      </c>
      <c r="J1049">
        <v>159123.77396672301</v>
      </c>
      <c r="K1049" t="str">
        <f>IF(AND(data_tab[[#This Row],[Revenue]]="",data_tab[[#This Row],[Cost]]=""),"Remove",IF(OR(data_tab[[#This Row],[Revenue]]="",data_tab[[#This Row],[Cost]]=""),"Flag","Valid"))</f>
        <v>Valid</v>
      </c>
      <c r="L1049" t="str">
        <f>IF((COUNTIFS(data_tab[Revenue],data_tab[[#This Row],[Revenue]],data_tab[Cost],data_tab[[#This Row],[Cost]]))&gt;1,"Duplicate","Unique")</f>
        <v>Duplicate</v>
      </c>
      <c r="M1049">
        <f>data_tab[[#This Row],[Revenue]]-data_tab[[#This Row],[Cost]]</f>
        <v>99095.226033276995</v>
      </c>
      <c r="N1049" t="str">
        <f>IF(data_tab[[#This Row],[Revenue]]&lt;0,"Return","Sale")</f>
        <v>Sale</v>
      </c>
    </row>
    <row r="1050" spans="1:14">
      <c r="A1050" s="1">
        <v>46166</v>
      </c>
      <c r="B1050">
        <f>MONTH(data_tab[[#This Row],[Order Date]])</f>
        <v>5</v>
      </c>
      <c r="C1050">
        <f>YEAR(data_tab[[#This Row],[Order Date]])</f>
        <v>2026</v>
      </c>
      <c r="D1050" t="s">
        <v>31</v>
      </c>
      <c r="E1050" t="s">
        <v>32</v>
      </c>
      <c r="F1050" t="s">
        <v>21</v>
      </c>
      <c r="G1050" t="s">
        <v>26</v>
      </c>
      <c r="H1050">
        <v>6</v>
      </c>
      <c r="I1050">
        <v>139272</v>
      </c>
      <c r="J1050">
        <v>110437.259385044</v>
      </c>
      <c r="K1050" t="str">
        <f>IF(AND(data_tab[[#This Row],[Revenue]]="",data_tab[[#This Row],[Cost]]=""),"Remove",IF(OR(data_tab[[#This Row],[Revenue]]="",data_tab[[#This Row],[Cost]]=""),"Flag","Valid"))</f>
        <v>Valid</v>
      </c>
      <c r="L1050" t="str">
        <f>IF((COUNTIFS(data_tab[Revenue],data_tab[[#This Row],[Revenue]],data_tab[Cost],data_tab[[#This Row],[Cost]]))&gt;1,"Duplicate","Unique")</f>
        <v>Duplicate</v>
      </c>
      <c r="M1050">
        <f>data_tab[[#This Row],[Revenue]]-data_tab[[#This Row],[Cost]]</f>
        <v>28834.740614955997</v>
      </c>
      <c r="N1050" t="str">
        <f>IF(data_tab[[#This Row],[Revenue]]&lt;0,"Return","Sale")</f>
        <v>Sale</v>
      </c>
    </row>
    <row r="1051" spans="1:14" hidden="1">
      <c r="A1051" s="1">
        <v>46331</v>
      </c>
      <c r="B1051">
        <f>MONTH(data_tab[[#This Row],[Order Date]])</f>
        <v>11</v>
      </c>
      <c r="C1051">
        <f>YEAR(data_tab[[#This Row],[Order Date]])</f>
        <v>2026</v>
      </c>
      <c r="D1051" t="s">
        <v>35</v>
      </c>
      <c r="E1051" t="s">
        <v>32</v>
      </c>
      <c r="F1051" t="s">
        <v>24</v>
      </c>
      <c r="G1051" t="s">
        <v>37</v>
      </c>
      <c r="H1051">
        <v>4</v>
      </c>
      <c r="I1051">
        <v>182672</v>
      </c>
      <c r="J1051">
        <v>151296.945316634</v>
      </c>
      <c r="K1051" t="str">
        <f>IF(AND(data_tab[[#This Row],[Revenue]]="",data_tab[[#This Row],[Cost]]=""),"Remove",IF(OR(data_tab[[#This Row],[Revenue]]="",data_tab[[#This Row],[Cost]]=""),"Flag","Valid"))</f>
        <v>Valid</v>
      </c>
      <c r="L1051" t="str">
        <f>IF((COUNTIFS(data_tab[Revenue],data_tab[[#This Row],[Revenue]],data_tab[Cost],data_tab[[#This Row],[Cost]]))&gt;1,"Duplicate","Unique")</f>
        <v>Duplicate</v>
      </c>
      <c r="M1051">
        <f>data_tab[[#This Row],[Revenue]]-data_tab[[#This Row],[Cost]]</f>
        <v>31375.054683366005</v>
      </c>
      <c r="N1051" t="str">
        <f>IF(data_tab[[#This Row],[Revenue]]&lt;0,"Return","Sale")</f>
        <v>Sale</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7FDA-4591-422F-A6DE-E1A76BD6F114}">
  <dimension ref="A1:B7"/>
  <sheetViews>
    <sheetView workbookViewId="0">
      <selection activeCell="A9" sqref="A9"/>
    </sheetView>
  </sheetViews>
  <sheetFormatPr defaultColWidth="8.85546875" defaultRowHeight="15"/>
  <cols>
    <col min="1" max="1" width="14.42578125" bestFit="1" customWidth="1"/>
    <col min="2" max="2" width="12.28515625" bestFit="1" customWidth="1"/>
  </cols>
  <sheetData>
    <row r="1" spans="1:2">
      <c r="A1" t="s">
        <v>42</v>
      </c>
      <c r="B1" t="s">
        <v>19</v>
      </c>
    </row>
    <row r="2" spans="1:2">
      <c r="A2" t="s">
        <v>43</v>
      </c>
      <c r="B2">
        <f>SUMIFS(data_tab[Revenue],data_tab[Data Status],"Valid")</f>
        <v>128889038</v>
      </c>
    </row>
    <row r="3" spans="1:2">
      <c r="A3" t="s">
        <v>44</v>
      </c>
      <c r="B3">
        <f>SUMIFS(data_tab[Cost],data_tab[Data Status],"Valid")</f>
        <v>94094781.145385787</v>
      </c>
    </row>
    <row r="4" spans="1:2">
      <c r="A4" t="s">
        <v>45</v>
      </c>
      <c r="B4">
        <f>B2-B3</f>
        <v>34794256.854614213</v>
      </c>
    </row>
    <row r="5" spans="1:2">
      <c r="A5" t="s">
        <v>46</v>
      </c>
      <c r="B5" s="4">
        <f>B4/B2</f>
        <v>0.26995512880322853</v>
      </c>
    </row>
    <row r="6" spans="1:2">
      <c r="A6" t="s">
        <v>47</v>
      </c>
      <c r="B6">
        <f>SUMIFS(data_tab[Units Sold],data_tab[Data Status],"Valid")</f>
        <v>5359</v>
      </c>
    </row>
    <row r="7" spans="1:2">
      <c r="A7" t="s">
        <v>48</v>
      </c>
      <c r="B7">
        <f>COUNTIFS(data_tab[Transaction Type],"Return",data_tab[Data Status],"Valid")/COUNTIFS(data_tab[Transaction Type],"Sale",data_tab[Data Status],"Valid")</f>
        <v>2.628696604600219E-2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BF5B-291D-4658-80AB-F782B552AF4B}">
  <dimension ref="A1:A2"/>
  <sheetViews>
    <sheetView tabSelected="1" workbookViewId="0">
      <selection activeCell="C3" sqref="C3"/>
    </sheetView>
  </sheetViews>
  <sheetFormatPr defaultColWidth="8.85546875" defaultRowHeight="15"/>
  <cols>
    <col min="1" max="1" width="17" bestFit="1" customWidth="1"/>
  </cols>
  <sheetData>
    <row r="1" spans="1:1">
      <c r="A1" s="5"/>
    </row>
    <row r="2" spans="1:1">
      <c r="A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DBCA-85DD-4473-9E5E-3CFE48AADBE4}">
  <dimension ref="A2:I93"/>
  <sheetViews>
    <sheetView topLeftCell="A38" zoomScale="114" zoomScaleNormal="114" workbookViewId="0">
      <selection activeCell="C3" sqref="C3"/>
    </sheetView>
  </sheetViews>
  <sheetFormatPr defaultColWidth="8.85546875" defaultRowHeight="15"/>
  <cols>
    <col min="1" max="1" width="10.7109375" bestFit="1" customWidth="1"/>
    <col min="2" max="2" width="14" bestFit="1" customWidth="1"/>
    <col min="3" max="3" width="15" bestFit="1" customWidth="1"/>
    <col min="4" max="4" width="12.28515625" bestFit="1" customWidth="1"/>
    <col min="5" max="8" width="13.28515625" bestFit="1" customWidth="1"/>
    <col min="9" max="9" width="10.28515625" bestFit="1" customWidth="1"/>
    <col min="10" max="17" width="7.7109375" bestFit="1" customWidth="1"/>
    <col min="18" max="24" width="6.7109375" bestFit="1" customWidth="1"/>
    <col min="25" max="25" width="5.42578125" bestFit="1" customWidth="1"/>
    <col min="26" max="44" width="5.140625" bestFit="1" customWidth="1"/>
    <col min="45" max="419" width="6.28515625" bestFit="1" customWidth="1"/>
    <col min="420" max="895" width="7.42578125" bestFit="1" customWidth="1"/>
    <col min="896" max="896" width="11.42578125" bestFit="1" customWidth="1"/>
  </cols>
  <sheetData>
    <row r="2" spans="1:9">
      <c r="A2" s="7" t="s">
        <v>10</v>
      </c>
      <c r="B2" t="s">
        <v>49</v>
      </c>
    </row>
    <row r="3" spans="1:9">
      <c r="H3" t="s">
        <v>43</v>
      </c>
      <c r="I3" s="8" t="str">
        <f>TEXT(A5,"₹ #,##,.0k")</f>
        <v>₹ 1,28,889.0k</v>
      </c>
    </row>
    <row r="4" spans="1:9">
      <c r="A4" t="s">
        <v>50</v>
      </c>
      <c r="B4" t="s">
        <v>51</v>
      </c>
      <c r="C4" t="s">
        <v>52</v>
      </c>
      <c r="D4" t="s">
        <v>53</v>
      </c>
      <c r="H4" t="s">
        <v>44</v>
      </c>
      <c r="I4" s="8" t="str">
        <f>TEXT(B5,"₹ #,##,.0K")</f>
        <v>₹ 94,094.8K</v>
      </c>
    </row>
    <row r="5" spans="1:9">
      <c r="A5">
        <v>128889038</v>
      </c>
      <c r="B5">
        <v>94094781.145385832</v>
      </c>
      <c r="C5">
        <v>5359</v>
      </c>
      <c r="D5">
        <v>34794256.854614258</v>
      </c>
      <c r="H5" t="s">
        <v>45</v>
      </c>
      <c r="I5" s="8" t="str">
        <f>TEXT(D5,"₹ #,##,.0k")</f>
        <v>₹ 34,794.3k</v>
      </c>
    </row>
    <row r="6" spans="1:9">
      <c r="H6" t="s">
        <v>46</v>
      </c>
    </row>
    <row r="7" spans="1:9">
      <c r="H7" t="s">
        <v>47</v>
      </c>
      <c r="I7" s="8" t="str">
        <f>TEXT(C5,"#,##")</f>
        <v>5,359</v>
      </c>
    </row>
    <row r="8" spans="1:9">
      <c r="H8" t="s">
        <v>48</v>
      </c>
    </row>
    <row r="14" spans="1:9">
      <c r="A14" s="7" t="s">
        <v>10</v>
      </c>
      <c r="B14" t="s">
        <v>49</v>
      </c>
    </row>
    <row r="16" spans="1:9">
      <c r="A16" s="7" t="s">
        <v>1</v>
      </c>
      <c r="B16" t="s">
        <v>50</v>
      </c>
      <c r="C16" t="s">
        <v>51</v>
      </c>
      <c r="D16" t="s">
        <v>53</v>
      </c>
    </row>
    <row r="17" spans="1:4">
      <c r="A17">
        <v>1</v>
      </c>
      <c r="B17" s="9">
        <v>7604438</v>
      </c>
      <c r="C17" s="9">
        <v>5384775.8090315359</v>
      </c>
      <c r="D17" s="9">
        <v>2219662.1909684641</v>
      </c>
    </row>
    <row r="18" spans="1:4">
      <c r="A18">
        <v>2</v>
      </c>
      <c r="B18" s="9">
        <v>4829779</v>
      </c>
      <c r="C18" s="9">
        <v>3336696.8859703117</v>
      </c>
      <c r="D18" s="9">
        <v>1493082.1140296885</v>
      </c>
    </row>
    <row r="19" spans="1:4">
      <c r="A19">
        <v>3</v>
      </c>
      <c r="B19" s="9">
        <v>3411426</v>
      </c>
      <c r="C19" s="9">
        <v>2351677.7538761422</v>
      </c>
      <c r="D19" s="9">
        <v>1059748.2461238576</v>
      </c>
    </row>
    <row r="20" spans="1:4">
      <c r="A20">
        <v>4</v>
      </c>
      <c r="B20" s="9">
        <v>6460999</v>
      </c>
      <c r="C20" s="9">
        <v>4893805.8396703778</v>
      </c>
      <c r="D20" s="9">
        <v>1567193.160329622</v>
      </c>
    </row>
    <row r="21" spans="1:4">
      <c r="A21">
        <v>5</v>
      </c>
      <c r="B21" s="9">
        <v>6779924</v>
      </c>
      <c r="C21" s="9">
        <v>4919257.0051215626</v>
      </c>
      <c r="D21" s="9">
        <v>1860666.9948784371</v>
      </c>
    </row>
    <row r="22" spans="1:4">
      <c r="A22">
        <v>6</v>
      </c>
      <c r="B22" s="9">
        <v>4206845</v>
      </c>
      <c r="C22" s="9">
        <v>3177135.9233890246</v>
      </c>
      <c r="D22" s="9">
        <v>1029709.0766109754</v>
      </c>
    </row>
    <row r="23" spans="1:4">
      <c r="A23">
        <v>7</v>
      </c>
      <c r="B23" s="9">
        <v>341460</v>
      </c>
      <c r="C23" s="9">
        <v>299577.20739188202</v>
      </c>
      <c r="D23" s="9">
        <v>41882.792608117976</v>
      </c>
    </row>
    <row r="24" spans="1:4">
      <c r="A24">
        <v>8</v>
      </c>
      <c r="B24" s="9">
        <v>74509</v>
      </c>
      <c r="C24" s="9">
        <v>58720.5850308515</v>
      </c>
      <c r="D24" s="9">
        <v>15788.4149691485</v>
      </c>
    </row>
    <row r="25" spans="1:4">
      <c r="A25">
        <v>9</v>
      </c>
      <c r="B25" s="9">
        <v>198282</v>
      </c>
      <c r="C25" s="9">
        <v>140330.73138810499</v>
      </c>
      <c r="D25" s="9">
        <v>57951.268611895008</v>
      </c>
    </row>
    <row r="26" spans="1:4">
      <c r="A26">
        <v>10</v>
      </c>
      <c r="B26" s="9">
        <v>81342</v>
      </c>
      <c r="C26" s="9">
        <v>44765.0228245619</v>
      </c>
      <c r="D26" s="9">
        <v>36576.9771754381</v>
      </c>
    </row>
    <row r="27" spans="1:4">
      <c r="A27">
        <v>12</v>
      </c>
      <c r="B27" s="9">
        <v>240891</v>
      </c>
      <c r="C27" s="9">
        <v>211733.14648725733</v>
      </c>
      <c r="D27" s="9">
        <v>29157.853512742688</v>
      </c>
    </row>
    <row r="28" spans="1:4">
      <c r="A28" t="s">
        <v>54</v>
      </c>
      <c r="B28" s="9">
        <v>34229895</v>
      </c>
      <c r="C28" s="9">
        <v>24818475.910181612</v>
      </c>
      <c r="D28" s="9">
        <v>9411419.0898183882</v>
      </c>
    </row>
    <row r="31" spans="1:4">
      <c r="A31" s="7" t="s">
        <v>10</v>
      </c>
      <c r="B31" t="s">
        <v>49</v>
      </c>
    </row>
    <row r="33" spans="1:3">
      <c r="A33" s="7" t="s">
        <v>6</v>
      </c>
      <c r="B33" t="s">
        <v>50</v>
      </c>
      <c r="C33" t="s">
        <v>52</v>
      </c>
    </row>
    <row r="34" spans="1:3">
      <c r="A34" t="s">
        <v>33</v>
      </c>
      <c r="B34" s="9">
        <v>7295587</v>
      </c>
      <c r="C34" s="9">
        <v>321</v>
      </c>
    </row>
    <row r="35" spans="1:3">
      <c r="A35" t="s">
        <v>39</v>
      </c>
      <c r="B35" s="9">
        <v>6132179</v>
      </c>
      <c r="C35" s="9">
        <v>251</v>
      </c>
    </row>
    <row r="36" spans="1:3">
      <c r="A36" t="s">
        <v>26</v>
      </c>
      <c r="B36" s="9">
        <v>5832579</v>
      </c>
      <c r="C36" s="9">
        <v>235</v>
      </c>
    </row>
    <row r="37" spans="1:3">
      <c r="A37" t="s">
        <v>17</v>
      </c>
      <c r="B37" s="9">
        <v>5231249</v>
      </c>
      <c r="C37" s="9">
        <v>201</v>
      </c>
    </row>
    <row r="38" spans="1:3">
      <c r="A38" t="s">
        <v>37</v>
      </c>
      <c r="B38" s="9">
        <v>5095781</v>
      </c>
      <c r="C38" s="9">
        <v>182</v>
      </c>
    </row>
    <row r="39" spans="1:3">
      <c r="A39" t="s">
        <v>41</v>
      </c>
      <c r="B39" s="9">
        <v>4642520</v>
      </c>
      <c r="C39" s="9">
        <v>214</v>
      </c>
    </row>
    <row r="40" spans="1:3">
      <c r="A40" t="s">
        <v>54</v>
      </c>
      <c r="B40" s="9">
        <v>34229895</v>
      </c>
      <c r="C40" s="9">
        <v>1404</v>
      </c>
    </row>
    <row r="49" spans="1:2">
      <c r="A49" s="7" t="s">
        <v>10</v>
      </c>
      <c r="B49" t="s">
        <v>49</v>
      </c>
    </row>
    <row r="51" spans="1:2">
      <c r="B51" t="s">
        <v>50</v>
      </c>
    </row>
    <row r="52" spans="1:2">
      <c r="A52" t="s">
        <v>16</v>
      </c>
      <c r="B52" s="9">
        <v>30806505</v>
      </c>
    </row>
    <row r="53" spans="1:2">
      <c r="A53" t="s">
        <v>24</v>
      </c>
      <c r="B53" s="9">
        <v>33123679</v>
      </c>
    </row>
    <row r="54" spans="1:2">
      <c r="A54" t="s">
        <v>21</v>
      </c>
      <c r="B54" s="9">
        <v>34229895</v>
      </c>
    </row>
    <row r="55" spans="1:2">
      <c r="A55" t="s">
        <v>36</v>
      </c>
      <c r="B55" s="9">
        <v>30728959</v>
      </c>
    </row>
    <row r="56" spans="1:2">
      <c r="A56" t="s">
        <v>54</v>
      </c>
      <c r="B56" s="9">
        <v>128889038</v>
      </c>
    </row>
    <row r="69" spans="1:2">
      <c r="A69" s="7" t="s">
        <v>10</v>
      </c>
      <c r="B69" t="s">
        <v>49</v>
      </c>
    </row>
    <row r="71" spans="1:2">
      <c r="B71" t="s">
        <v>50</v>
      </c>
    </row>
    <row r="72" spans="1:2">
      <c r="A72" t="s">
        <v>15</v>
      </c>
      <c r="B72" s="4">
        <v>0.70029487382301348</v>
      </c>
    </row>
    <row r="73" spans="1:2">
      <c r="A73" t="s">
        <v>32</v>
      </c>
      <c r="B73" s="4">
        <v>0.29970512617698652</v>
      </c>
    </row>
    <row r="74" spans="1:2">
      <c r="A74" t="s">
        <v>54</v>
      </c>
      <c r="B74" s="4">
        <v>1</v>
      </c>
    </row>
    <row r="83" spans="1:2">
      <c r="A83" s="7" t="s">
        <v>10</v>
      </c>
      <c r="B83" t="s">
        <v>49</v>
      </c>
    </row>
    <row r="85" spans="1:2">
      <c r="B85" t="s">
        <v>50</v>
      </c>
    </row>
    <row r="86" spans="1:2">
      <c r="A86" t="s">
        <v>14</v>
      </c>
      <c r="B86" s="9">
        <v>7314367</v>
      </c>
    </row>
    <row r="87" spans="1:2">
      <c r="A87" t="s">
        <v>31</v>
      </c>
      <c r="B87" s="9">
        <v>6456993</v>
      </c>
    </row>
    <row r="88" spans="1:2">
      <c r="A88" t="s">
        <v>20</v>
      </c>
      <c r="B88" s="9">
        <v>5254999</v>
      </c>
    </row>
    <row r="89" spans="1:2">
      <c r="A89" t="s">
        <v>29</v>
      </c>
      <c r="B89" s="9">
        <v>4561640</v>
      </c>
    </row>
    <row r="90" spans="1:2">
      <c r="A90" t="s">
        <v>40</v>
      </c>
      <c r="B90" s="9">
        <v>3891939</v>
      </c>
    </row>
    <row r="91" spans="1:2">
      <c r="A91" t="s">
        <v>35</v>
      </c>
      <c r="B91" s="9">
        <v>3801882</v>
      </c>
    </row>
    <row r="92" spans="1:2">
      <c r="A92" t="s">
        <v>23</v>
      </c>
      <c r="B92" s="9">
        <v>2948075</v>
      </c>
    </row>
    <row r="93" spans="1:2">
      <c r="A93" t="s">
        <v>54</v>
      </c>
      <c r="B93" s="9">
        <v>34229895</v>
      </c>
    </row>
  </sheetData>
  <pageMargins left="0.7" right="0.7" top="0.75" bottom="0.75" header="0.3" footer="0.3"/>
  <pageSetup paperSize="9" orientation="portrait" horizontalDpi="0" verticalDpi="0"/>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2026-02-21T09:38:03Z</dcterms:created>
  <dcterms:modified xsi:type="dcterms:W3CDTF">2026-06-04T01:54:35Z</dcterms:modified>
  <cp:category/>
  <cp:contentStatus/>
</cp:coreProperties>
</file>